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al Metrics" sheetId="2" state="visible" r:id="rId4"/>
    <sheet name="Funnel Metrics" sheetId="3" state="visible" r:id="rId5"/>
    <sheet name="Attribution Metrics" sheetId="4" state="visible" r:id="rId6"/>
    <sheet name="Operations Index" sheetId="5" state="visible" r:id="rId7"/>
    <sheet name="Portfolio Health" sheetId="6" state="visible" r:id="rId8"/>
    <sheet name="GPI" sheetId="7" state="visible" r:id="rId9"/>
    <sheet name="VP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<sst xmlns="http://schemas.openxmlformats.org/spreadsheetml/2006/main" count="2428" uniqueCount="1189">
  <si>
    <t xml:space="preserve">MAA NorthStar — DAX Measure Catalog</t>
  </si>
  <si>
    <t xml:space="preserve">Categorized inventory of DAX measures organized by functional role: Real Metrics (Core + Actual), Funnel, Attribution, and the four composite index scores (Operations, Portfolio Health, GPI, VPI).</t>
  </si>
  <si>
    <t xml:space="preserve">Tabs in this workbook</t>
  </si>
  <si>
    <t xml:space="preserve">Tab</t>
  </si>
  <si>
    <t xml:space="preserve">Description</t>
  </si>
  <si>
    <t xml:space="preserve">Measure Count</t>
  </si>
  <si>
    <t xml:space="preserve">Real Metrics</t>
  </si>
  <si>
    <t xml:space="preserve">Core volumes (spend, impressions, clicks, leads, leases) + Actual operational metrics (occupancy, move-ins, net absorption, cost-per, sell rate).</t>
  </si>
  <si>
    <t xml:space="preserve">Funnel Metrics</t>
  </si>
  <si>
    <t xml:space="preserve">Funnel-level conversion rates (CTR, Click-to-Visit, Visit-to-Lead, L2L) plus cost-per-stage and top-performer funnel KPIs.</t>
  </si>
  <si>
    <t xml:space="preserve">Attribution Metrics</t>
  </si>
  <si>
    <t xml:space="preserve">Multi-touch attribution measures: First Touch, Last Touch, Linear, Time Decay, U-Shape, W-Shape models; attributed conversion counts, lease values, path analysis.</t>
  </si>
  <si>
    <t xml:space="preserve">Operations Index</t>
  </si>
  <si>
    <t xml:space="preserve">Composite Ops Index (0–100) — components, pillar KPIs, final score, risk tiers, color/formatting helpers. Measures occupancy, vacancy, absorption, coverage.</t>
  </si>
  <si>
    <t xml:space="preserve">Portfolio Health</t>
  </si>
  <si>
    <t xml:space="preserve">Portfolio Health Index (PHI) — pillar scores (Occupancy, Leasing, Demand), narrative insights, star ratings.</t>
  </si>
  <si>
    <t xml:space="preserve">GPI</t>
  </si>
  <si>
    <t xml:space="preserve">Geographic Performance Index — two-pillar composite: absolute performance (Pillar 1) + trend/change (Pillar 2). Includes ranks, tiers, colors, stars, helpers.</t>
  </si>
  <si>
    <t xml:space="preserve">VPI</t>
  </si>
  <si>
    <t xml:space="preserve">Vendor Performance Index — four funnel-stage scores (Awareness 15%, Consideration 20%, Evaluation 25%, Conversion 40%), percentile components, tiers, helpers.</t>
  </si>
  <si>
    <t xml:space="preserve">TOTAL</t>
  </si>
  <si>
    <t xml:space="preserve">How to read the catalog</t>
  </si>
  <si>
    <t xml:space="preserve">• Measures are sorted within each tab by Role (Components → KPI → Final Score → Tier → Color/Format → Helper) then by name.</t>
  </si>
  <si>
    <t xml:space="preserve">• "Role" column classifies how the measure contributes to its section (e.g., Component / KPI / Final Score / Tier / Helper / Color).</t>
  </si>
  <si>
    <t xml:space="preserve">• "Purpose" is a concise one-line explanation inferred from the measure name and its DAX definition.</t>
  </si>
  <si>
    <t xml:space="preserve">• "DAX Formula" shows the full DAX expression (long formulas truncated at 2000 chars — full text available in MAA_All_Measures_Current.tsv).</t>
  </si>
  <si>
    <t xml:space="preserve">• The four index tabs (Ops, PHI, GPI, VPI) include their helper/color/tier measures — filter by Role to focus on just components or just scoring.</t>
  </si>
  <si>
    <t xml:space="preserve">Core volumes + Actual operational metrics — the foundational "what happened" layer of the model.</t>
  </si>
  <si>
    <t xml:space="preserve">Core Metrics folder = marketing spend + funnel volumes (impressions, clicks, leads, new leases) + base occupancy.</t>
  </si>
  <si>
    <t xml:space="preserve">Actual folder = real operational outcomes (occupancy, vacancy, move-ins/outs, net absorption, lease velocity, cost-per measures).</t>
  </si>
  <si>
    <t xml:space="preserve">#</t>
  </si>
  <si>
    <t xml:space="preserve">Measure Name</t>
  </si>
  <si>
    <t xml:space="preserve">Role</t>
  </si>
  <si>
    <t xml:space="preserve">Purpose</t>
  </si>
  <si>
    <t xml:space="preserve">Display Folder</t>
  </si>
  <si>
    <t xml:space="preserve">DAX Formula</t>
  </si>
  <si>
    <t xml:space="preserve">Occupied Units</t>
  </si>
  <si>
    <t xml:space="preserve">Occupancy Base</t>
  </si>
  <si>
    <t xml:space="preserve">Current count of occupied units from the property operations fact table.</t>
  </si>
  <si>
    <t xml:space="preserve">00 - Core Metrics\1,3 Occupancy</t>
  </si>
  <si>
    <t xml:space="preserve">\nVAR AsOfDate = MAX('dim_date'[Date])\nRETURN\nSUMX(\n    VALUES(dim_property[PropertyKey]),\n    CALCULATE(\n        MAX(fact_property_ops_daily[OccupiedUnits]),\n        KEEPFILTERS('dim_date'[Date] = AsOfDate)\n    )\n)\n</t>
  </si>
  <si>
    <t xml:space="preserve">Vacant Units</t>
  </si>
  <si>
    <t xml:space="preserve">Current count of vacant units from the property operations fact table.</t>
  </si>
  <si>
    <t xml:space="preserve">\nVAR AsOfDate = MAX('dim_date'[Date])\nRETURN\nSUMX(\n    VALUES(dim_property[PropertyKey]),\n    CALCULATE(\n        MAX(fact_property_ops_daily[VacantUnits]),\n        KEEPFILTERS('dim_date'[Date] = AsOfDate)\n    )\n)\n</t>
  </si>
  <si>
    <t xml:space="preserve">Clicks</t>
  </si>
  <si>
    <t xml:space="preserve">Funnel Volume</t>
  </si>
  <si>
    <t xml:space="preserve">Total ad clicks (funnel stage = Clicks); engagement volume.</t>
  </si>
  <si>
    <t xml:space="preserve">00 - Core Metrics\1.1 Funnel Volumes</t>
  </si>
  <si>
    <t xml:space="preserve">CALCULATE(SUM(fact_marketing_funnel_daily[MetricValue]), dim_funnel_stage[FunnelStageName] = "Clicks")</t>
  </si>
  <si>
    <t xml:space="preserve">Impressions</t>
  </si>
  <si>
    <t xml:space="preserve">Total ad impressions served (from funnel fact table); top-of-funnel awareness volume.</t>
  </si>
  <si>
    <t xml:space="preserve">CALCULATE(SUM(fact_marketing_funnel_daily[MetricValue]), dim_funnel_stage[FunnelStageName] = "Impressions")</t>
  </si>
  <si>
    <t xml:space="preserve">Leads (Funnel)</t>
  </si>
  <si>
    <t xml:space="preserve">Total leads from the funnel fact table (pre-attribution).</t>
  </si>
  <si>
    <t xml:space="preserve">CALCULATE(SUM(fact_marketing_funnel_daily[MetricValue]), dim_funnel_stage[FunnelStageName] = "Leads")</t>
  </si>
  <si>
    <t xml:space="preserve">New Leases (Funnel)</t>
  </si>
  <si>
    <t xml:space="preserve">Total new leases recorded in the funnel fact table (pre-attribution).</t>
  </si>
  <si>
    <t xml:space="preserve">CALCULATE(SUM(fact_marketing_funnel_daily[MetricValue]), dim_funnel_stage[FunnelStageName] = "New Leases")</t>
  </si>
  <si>
    <t xml:space="preserve">Marketing Spend</t>
  </si>
  <si>
    <t xml:space="preserve">Spend</t>
  </si>
  <si>
    <t xml:space="preserve">Total marketing spend across all vendors, channels, and properties in the current filter context.</t>
  </si>
  <si>
    <t xml:space="preserve">00 - Core Metrics\1.2 Marketing Spend</t>
  </si>
  <si>
    <t xml:space="preserve">SUM(fact_marketing_spend_daily[Spend])</t>
  </si>
  <si>
    <t xml:space="preserve">Available Units</t>
  </si>
  <si>
    <t xml:space="preserve">Base Measure</t>
  </si>
  <si>
    <t xml:space="preserve">Count of units available to lease (vacant + coming available).</t>
  </si>
  <si>
    <t xml:space="preserve">01 - Actual\1.1 - Base</t>
  </si>
  <si>
    <t xml:space="preserve">\nVAR AsOfDate = MAX('dim_date'[Date])\nRETURN\nCALCULATE(\n    SUMX(\n        VALUES(fact_property_ops_daily[PropertyKey]),\n        CALCULATE(\n            MAX(fact_property_ops_daily[AvailableUnits])\n        )\n    ),\n    'dim_date'[Date] = AsOfDate\n)</t>
  </si>
  <si>
    <t xml:space="preserve">Cost per Lead (Actual)</t>
  </si>
  <si>
    <t xml:space="preserve">Marketing Spend ÷ Leads — blended cost to generate one lead (actual, not attributed).</t>
  </si>
  <si>
    <t xml:space="preserve">DIVIDE([Marketing Spend], [Leads (Actual)])</t>
  </si>
  <si>
    <t xml:space="preserve">Leads (Actual)</t>
  </si>
  <si>
    <t xml:space="preserve">Base building-block measure reused by higher-level calculations.</t>
  </si>
  <si>
    <t xml:space="preserve">\nSUM( fact_leasing_daily[Leads] )</t>
  </si>
  <si>
    <t xml:space="preserve">Lease Expirations</t>
  </si>
  <si>
    <t xml:space="preserve">\n\nSUMX(\n    VALUES(fact_property_ops_daily[PropertyKey]),\n    CALCULATE(\n        SUM(fact_property_ops_daily[LeaseExpirations])\n    )\n)\n</t>
  </si>
  <si>
    <t xml:space="preserve">Move-Ins</t>
  </si>
  <si>
    <t xml:space="preserve">Count of physical move-ins in the period.</t>
  </si>
  <si>
    <t xml:space="preserve">\nVAR Ratio = 0.95\nRETURN\nROUND( [New Leases (Actual)] * Ratio, 0 )</t>
  </si>
  <si>
    <t xml:space="preserve">Move-Outs</t>
  </si>
  <si>
    <t xml:space="preserve">Count of physical move-outs in the period.</t>
  </si>
  <si>
    <t xml:space="preserve">VAR Base = [Move-Ins]\nVAR PKey = SELECTEDVALUE( dim_property[PropertyKey], 1 )\n\n-- 0–50\nVAR Seed = MOD( PKey * 37, 51 )\n\n-- 0.92–0.97 (92% to 97%)\nVAR Ratio = 0.92 + ( Seed / 1000 )\n\nRETURN\nROUND( Base * Ratio, 0 )</t>
  </si>
  <si>
    <t xml:space="preserve">New Leases (Actual)</t>
  </si>
  <si>
    <t xml:space="preserve">SUM(fact_leasing_daily[NewLeases])</t>
  </si>
  <si>
    <t xml:space="preserve">Occupancy Rate %</t>
  </si>
  <si>
    <t xml:space="preserve">Percentage of total units currently occupied.</t>
  </si>
  <si>
    <t xml:space="preserve">\nDIVIDE(\n    [Occupied Units],\n    [Occupied Units] + [Vacant Units]\n)</t>
  </si>
  <si>
    <t xml:space="preserve">Scheduled Move-Ins</t>
  </si>
  <si>
    <t xml:space="preserve">\nVAR AsOfDate = MAX(dim_date[Date])\nRETURN\nSUMX(\n    VALUES( dim_property[PropertyKey] ),\n    CALCULATE(\n        MAX( fact_property_ops_daily[ScheduledMoveIns] ),\n        KEEPFILTERS( 'dim_date'[Date] = AsOfDate )\n    )\n)\n</t>
  </si>
  <si>
    <t xml:space="preserve">Total Units</t>
  </si>
  <si>
    <t xml:space="preserve">Total physical unit count across properties in context.</t>
  </si>
  <si>
    <t xml:space="preserve">\nSUM ( dim_property[TotalUnits] )\n</t>
  </si>
  <si>
    <t xml:space="preserve">Vacancy Rate %</t>
  </si>
  <si>
    <t xml:space="preserve">Percentage of total units currently vacant.</t>
  </si>
  <si>
    <t xml:space="preserve">\nDIVIDE(\n    [Vacant Units],\n    [Occupied Units] + [Vacant Units]\n)</t>
  </si>
  <si>
    <t xml:space="preserve">Visits (Actual)</t>
  </si>
  <si>
    <t xml:space="preserve">SUM(fact_leasing_daily[Visits])</t>
  </si>
  <si>
    <t xml:space="preserve">% Healthy</t>
  </si>
  <si>
    <t xml:space="preserve">KPI</t>
  </si>
  <si>
    <t xml:space="preserve">KPI-level measure designed for card / tile display.</t>
  </si>
  <si>
    <t xml:space="preserve">01 - Actual\1.2 - KPI</t>
  </si>
  <si>
    <t xml:space="preserve">\nDIVIDE(\n    [Healthy Properties],\n    DISTINCTCOUNT('dim_property'[PropertyKey])\n)\n</t>
  </si>
  <si>
    <t xml:space="preserve">% Immediate Action</t>
  </si>
  <si>
    <t xml:space="preserve">\nDIVIDE(\n    [Immediate Action Properties],\n    DISTINCTCOUNT('dim_property'[PropertyKey])\n)\n</t>
  </si>
  <si>
    <t xml:space="preserve">% SupplyRisk</t>
  </si>
  <si>
    <t xml:space="preserve">\nDIVIDE(\n    [Supply Risk Properties],\n    DISTINCTCOUNT('dim_property'[PropertyKey])\n)\n</t>
  </si>
  <si>
    <t xml:space="preserve">% Velocity Risk</t>
  </si>
  <si>
    <t xml:space="preserve">Velocity measure — rate of change (e.g., lease velocity, response velocity).</t>
  </si>
  <si>
    <t xml:space="preserve">\nDIVIDE(\n    [Velocity Risk Properties],\n    DISTINCTCOUNT('dim_property'[PropertyKey])\n)\n</t>
  </si>
  <si>
    <t xml:space="preserve">Absorption Days (Est)</t>
  </si>
  <si>
    <t xml:space="preserve">\nVAR VacantUnits = [Vacant Ready Units (Est)]\nVAR DaysBack = 30\nVAR TotalLeases30D =\n    CALCULATE(\n        SUM(fact_property_ops_daily[MoveIns]),  -- Use SUM directly, not [Move-Ins]\n        DATESINPERIOD('dim_date'[Date], MAX('dim_date'[Date]), -DaysBack, DAY)\n    )\nVAR AvgDailyLeases = DIVIDE(TotalLeases30D, DaysBack)\nVAR Days = DIVIDE(VacantUnits, AvgDailyLeases)\nRETURN\nIF(ISBLANK(Days), BLANK(), MIN(Days, 180))\n</t>
  </si>
  <si>
    <t xml:space="preserve">Absorption Median</t>
  </si>
  <si>
    <t xml:space="preserve">\nMEDIANX(\n    ALLSELECTED(dim_property[PropertyName]),\n    [Absorption Days (Est)]\n)</t>
  </si>
  <si>
    <t xml:space="preserve">Acquisition Value (Estimated)</t>
  </si>
  <si>
    <t xml:space="preserve">\nVAR TotalAcqValue =\n    SUMX(\n        VALUES(dim_property[PropertyKey]),\n        VAR Leases = CALCULATE(SUM(fact_leasing_daily[NewLeases]))\n        VAR Rent = CALCULATE(MAX(dim_property[MonthlyRent]))\n        RETURN IF(Leases &gt; 0 &amp;&amp; NOT ISBLANK(Rent), Leases * Rent * 9.7, BLANK())\n    )\nVAR VendorSpendShare =\n    DIVIDE(\n        [Marketing Spend],\n        CALCULATE([Marketing Spend], ALL(dim_vendor))\n    )\nRETURN\nTotalAcqValue * VendorSpendShare</t>
  </si>
  <si>
    <t xml:space="preserve">Avg Daily New Leases</t>
  </si>
  <si>
    <t xml:space="preserve">\nAVERAGEX(\n    VALUES('dim_date'[Date]),\n    [New Leases (Actual)]\n)\n</t>
  </si>
  <si>
    <t xml:space="preserve">Avg Monthly Spend</t>
  </si>
  <si>
    <t xml:space="preserve">\nVAR MonthCount =\n    DISTINCTCOUNT(dim_date[Month Year])\nRETURN\nDIVIDE(\n    [Marketing Spend],\n    MonthCount\n)</t>
  </si>
  <si>
    <t xml:space="preserve">Callout - Highest CPL</t>
  </si>
  <si>
    <t xml:space="preserve">VAR TopMarket =\n    TOPN(\n        1,\n        VALUES(dim_property[MarketName]),\n        CALCULATE([Cost per Lease (Actual)]),\n        DESC\n    )\nVAR MarketName = MAXX(TopMarket, dim_property[MarketName])\nVAR CPL        = MAXX(TopMarket, CALCULATE([Cost per Lease (Actual)]))\nRETURN\nIF(\n    ISBLANK(MarketName), BLANK(),\n    "⚠️ " &amp; MarketName &amp;\n    " — CPL " &amp; FORMAT(CPL, "$#,0")\n)</t>
  </si>
  <si>
    <t xml:space="preserve">Callout - Highest Out of SLA</t>
  </si>
  <si>
    <t xml:space="preserve">SLA compliance percentage — share of leads/visits/tasks handled within the service-level window.</t>
  </si>
  <si>
    <t xml:space="preserve">\nVAR MarketScores =\n    ADDCOLUMNS(\n        VALUES(dim_property[MarketName]),\n        "@OutOfSLA",\n        CALCULATE(\n            COUNTX(\n                VALUES(dim_property[PropertyKey]),\n                VAR OpsSLA = CALCULATE([Within SLA])\n        VAR MktSLA = CALCULATE([Marketing Within SLA (Yes/No)])\n                RETURN IF(OpsSLA = "No" || MktSLA = "No", 1, BLANK())\n            )\n        ),\n        "@Total",\n        CALCULATE(COUNTROWS(VALUES(dim_property[PropertyKey])))\n    )\n\nVAR WithPct =\n    ADDCOLUMNS(\n        MarketScores,\n        "@Pct", DIVIDE([@OutOfSLA], [@Total], 0)\n    )\n\nVAR TopMarket =\n    TOPN(1, WithPct, [@Pct], DESC)\n\nVAR MarketName = MAXX(TopMarket, dim_property[MarketName])\nVAR OutCount   = MAXX(TopMarket, [@OutOfSLA])\nVAR Total      = MAXX(TopMarket, [@Total])\nVAR Pct        = MAXX(TopMarket, [@Pct])\n\nRETURN\nIF(\n    ISBLANK(MarketName), BLANK(),\n    "⚠️ " &amp; MarketName &amp;\n    " — " &amp; OutCount &amp; " of " &amp; Total &amp;\n    " (" &amp; FORMAT(Pct, "0%") &amp; ")"\n)</t>
  </si>
  <si>
    <t xml:space="preserve">Callout - Highest Sell Rate</t>
  </si>
  <si>
    <t xml:space="preserve">\nVAR TopMarket =\n    TOPN(\n        1,\n        VALUES(dim_property[MarketName]),\n        CALCULATE(\n            AVERAGEX(VALUES(dim_property[PropertyKey]), [Sell Rate])\n        ),\n        DESC\n    )\nVAR MarketName = MAXX(TopMarket, dim_property[MarketName])\nVAR Rate       = MAXX(TopMarket, CALCULATE(AVERAGEX(VALUES(dim_property[PropertyKey]), [Sell Rate])))\nRETURN\nIF(\n    ISBLANK(MarketName), BLANK(),\n    "🔥 " &amp; MarketName &amp;\n    " — Sell Rate " &amp; FORMAT(Rate, "0.0%")\n)</t>
  </si>
  <si>
    <t xml:space="preserve">Callout - Highest Turnover</t>
  </si>
  <si>
    <t xml:space="preserve">\nVAR TopMarket =\n    TOPN(\n        1,\n        VALUES(dim_property[MarketName]),\n        CALCULATE([Quadrant_HighTurnover_Count]),\n        DESC\n    )\nVAR MarketName    = MAXX(TopMarket, dim_property[MarketName])\nVAR TurnoverCount = MAXX(TopMarket, CALCULATE([Quadrant_HighTurnover_Count]))\nVAR TotalProps    = MAXX(TopMarket, CALCULATE(COUNTROWS(VALUES(dim_property[PropertyKey]))))\nRETURN\nIF(\n    ISBLANK(MarketName), BLANK(),\n    "⚠️ " &amp; MarketName &amp;\n    " — " &amp; TurnoverCount &amp; " of " &amp; TotalProps &amp;\n    " (" &amp; FORMAT(DIVIDE(TurnoverCount, TotalProps), "0%") &amp; ")"\n)</t>
  </si>
  <si>
    <t xml:space="preserve">CF Coasting</t>
  </si>
  <si>
    <t xml:space="preserve">\nVAR Pct = [Quadrant_Coasting_Pct]\nRETURN\nSWITCH(\n    TRUE(),\n    ISBLANK(Pct),    "#2A2E36",\n    Pct &gt;= 0.50,     "#CD8942",   -- Most properties coasting — amber warning\n    Pct &gt;= 0.15,     "#C99A2E",   -- Some coasting — gold dim\n    Pct &gt;= 0.10,     "#2A2E36",   -- Normal — neutral\n    "#2A2E36"                      -- Minimal — neutral\n)</t>
  </si>
  <si>
    <t xml:space="preserve">CF CPL</t>
  </si>
  <si>
    <t xml:space="preserve">\nVAR CPL = [Cost per Lease (Actual)]\nVAR MedianCPL =\n    CALCULATE(\n        MEDIANX(\n            VALUES(dim_property[PropertyKey]),\n          [Cost per Lease (Actual)]\n        ),\n        ALL(dim_property)\n    )\n\nVAR P90_CPL =\n    CALCULATE(\n        PERCENTILEX.INC(\n            VALUES(dim_property[PropertyKey]),\n        [Cost per Lease (Actual)],\n            0.90\n        ),\n        ALL(dim_property)\n    )\n\nVAR P75_CPL =\n    CALCULATE(\n        PERCENTILEX.INC(\n            VALUES(dim_property[PropertyKey]),\n      [Cost per Lease (Actual)],\n            0.75\n        ),\n        ALL(dim_property)\n    )\n\nRETURN\nSWITCH(\n    TRUE(),\n    ISBLANK(CPL),          "#2A2E36",\n    CPL &gt;= P90_CPL,        "#800020",   -- Bottom 10% (most expensive) — deep red\n    CPL &gt;= P75_CPL,        "#cc3333",   -- Bottom 25% — red\n    CPL &gt;= MedianCPL,      "#CD8942",   -- Above median, not awful — amber\n    CPL &lt;  MedianCPL,      "#4ade80",   -- Under median — green\n    "#2A2E36"\n)</t>
  </si>
  <si>
    <t xml:space="preserve">CF Healthy</t>
  </si>
  <si>
    <t xml:space="preserve">VAR Pct = [% Healthy]\nRETURN\nSWITCH(\n    TRUE(),\n    ISBLANK(Pct),  "#2A2E36",\n    Pct &gt;= 0.80,   "#00C853",\n    Pct &gt;= 0.60,   "#4ade80",\n    Pct &gt;= 0.40,   "#76C442",\n    Pct &gt;= 0.20,   "#C99A2E",\n    Pct &gt;= 0.01,   "#cc3333",\n    "#2A2E36"\n)</t>
  </si>
  <si>
    <t xml:space="preserve">CF High Turnover</t>
  </si>
  <si>
    <t xml:space="preserve">\nVAR Pct = [Quadrant_HighTurnover_Pct]\nRETURN\nSWITCH(\n    TRUE(),\n    ISBLANK(Pct),    "#2A2E36",\n    Pct &gt;= 0.40,     "#cc3333",   -- High — red\n    Pct &gt;= 0.25,     "#CD8942",   -- Moderate — amber\n    Pct &gt;= 0.10,     "#C99A2E",   -- Low — gold dim\n    "#2A2E36"                      -- Minimal — neutral\n)</t>
  </si>
  <si>
    <t xml:space="preserve">CF Immediate Action</t>
  </si>
  <si>
    <t xml:space="preserve">\nVAR Pct = [% Immediate Action]\nRETURN\nSWITCH(\n    TRUE(),\n    ISBLANK(Pct),  "#2A2E36",\n    Pct &gt;= 0.30,   "#800020",   -- 30%+ critical — deep red\n    Pct &gt;= 0.20,   "#C0001A",   -- 20-30% — red\n    Pct &gt;= 0.10,   "#E8431D",   -- 10-20% — orange red\n    Pct &gt;= 0.05,   "#CD8942",   -- 5-10% — amber\n    Pct &gt;= 0.01,   "#76C442",   -- 1-5% — yellow green\n    "#00C853"                    -- 0% — bright green\n)</t>
  </si>
  <si>
    <t xml:space="preserve">CF Intervention</t>
  </si>
  <si>
    <t xml:space="preserve">\nVAR Pct = [Quadrant_Intervention_Pct]\nRETURN\nSWITCH(\n    TRUE(),\n    ISBLANK(Pct),    "#2A2E36",\n    Pct &gt;= 0.50,     "#800020",   -- Critical — deep red\n    Pct &gt;= 0.30,     "#cc3333",   -- High — red\n    Pct &gt;= 0.15,     "#CD8942",   -- Moderate — amber\n    "#2A2E36"                      -- Low — neutral\n)</t>
  </si>
  <si>
    <t xml:space="preserve">CF Lease Velocity</t>
  </si>
  <si>
    <t xml:space="preserve">\nVAR Val = [Lease Velocity]\nRETURN\nSWITCH(\n    TRUE(),\n    ISBLANK(Val), "#2A2E36",\n    Val &gt;= 40,    "#00C853",   -- 40+ — bright green\n    Val &gt;= 30,    "#76C442",   -- 30-39 — yellow green\n    Val &gt;= 20,    "#CD8942",   -- 20-29 — amber\n    Val &gt;= 10,    "#E8431D",   -- 10-19 — orange red\n    "#800020"                   -- &lt;10 — deep red\n)</t>
  </si>
  <si>
    <t xml:space="preserve">CF Region SLA</t>
  </si>
  <si>
    <t xml:space="preserve">\nVAR CurrentValue = [Properties Within SLA %]\n\nVAR MedianValue =\n    SWITCH(\n        TRUE(),\n        ISINSCOPE(dim_property[PropertyName]),\n            MEDIANX(\n                ALL(dim_property[PropertyName]),\n                [Properties Within SLA %]\n            ),\n        ISINSCOPE(dim_market[MarketName]),\n            MEDIANX(\n                ALL(dim_market[MarketName]),\n                [Properties Within SLA %]\n            ),\n        ISINSCOPE(dim_region[RegionName]),\n            MEDIANX(\n                ALL(dim_region[RegionName]),\n                [Properties Within SLA %]\n            ),\n        MEDIANX(\n            ALL(dim_region[RegionName]),\n            [Properties Within SLA %]\n        )\n    )\n\nVAR P90_Value =\n    SWITCH(\n        TRUE(),\n        ISINSCOPE(dim_property[PropertyName]),\n            PERCENTILEX.INC(\n                ALL(dim_property[PropertyName]),\n                [Properties Within SLA %],\n                0.90\n            ),\n        ISINSCOPE(dim_market[MarketName]),\n            PERCENTILEX.INC(\n                ALL(dim_market[MarketName]),\n                [Properties Within SLA %],\n                0.90\n            ),\n        ISINSCOPE(dim_region[RegionName]),\n            PERCENTILEX.INC(\n                ALL(dim_region[RegionName]),\n                [Properties Within SLA %],\n                0.90\n            ),\n        PERCENTILEX.INC(\n            ALL(dim_region[RegionName]),\n            [Properties Within SLA %],\n            0.90\n        )\n    )\n\nVAR P75_Value =\n    SWITCH(\n        TRUE(),\n        ISINSCOPE(dim_property[PropertyName]),\n            PERCENTILEX.INC(\n                ALL(dim_property[PropertyName]),\n                [Properties Within SLA %],\n                0.75\n            ),\n        ISINSCOPE(dim_market[MarketName]),\n            PERCENTILEX.INC(\n                ALL(dim_market[MarketName]),\n                [Properties Within SLA %],\n                0.75\n            ... [truncated]</t>
  </si>
  <si>
    <t xml:space="preserve">CF Scale</t>
  </si>
  <si>
    <t xml:space="preserve">\nVAR Pct = [Quadrant_Scale_Pct]\nRETURN\nSWITCH(\n    TRUE(),\n    ISBLANK(Pct),    "#2A2E36",\n    Pct &gt;= 0.60,     "#1a5c2e",   -- Excellent — deep green\n    Pct &gt;= 0.40,     "#4ade80",   -- Strong — green\n    Pct &gt;= 0.20,     "#C99A2E",   -- Moderate — gold dim\n    "#cc3333"                      -- Low Scale is a problem — red\n)</t>
  </si>
  <si>
    <t xml:space="preserve">CF Spend</t>
  </si>
  <si>
    <t xml:space="preserve">\nVAR Spend            = [Marketing Spend]\nVAR InterventionPct  = [Quadrant_Intervention_Pct]\nVAR ScalePct         = [Quadrant_Scale_Pct]\nVAR PortfolioAvgSpend =\n    CALCULATE(\n        AVERAGEX(VALUES(dim_property[MarketName]), [Marketing Spend]),\n        ALL(dim_property)\n    )\nRETURN\nSWITCH(\n    TRUE(),\n    ISBLANK(Spend), "#2A2E36",\n    -- High spend + high intervention = fire\n    Spend &gt; PortfolioAvgSpend &amp;&amp; InterventionPct &gt;= 0.40,  "#800020",\n    -- High spend + high intervention moderate\n    Spend &gt; PortfolioAvgSpend &amp;&amp; InterventionPct &gt;= 0.20,  "#cc3333",\n    -- High spend + mostly scaling = good use of budget\n    Spend &gt; PortfolioAvgSpend &amp;&amp; ScalePct &gt;= 0.50,         "#4ade80",\n    -- Below avg spend + good scale = efficient\n    Spend &lt;= PortfolioAvgSpend &amp;&amp; ScalePct &gt;= 0.40,        "#C99A2E",\n    "#2A2E36"\n)</t>
  </si>
  <si>
    <t xml:space="preserve">CF Supply Risk</t>
  </si>
  <si>
    <t xml:space="preserve">\nVAR Pct = [% SupplyRisk]\nRETURN\nSWITCH(\n    TRUE(),\n    ISBLANK(Pct),              "#2A2E36",\n    Pct &gt;= 0.40 &amp;&amp; Pct &lt;= 0.60, "#00C853",   -- near 50% — bright green\n    Pct &gt;= 0.30 &amp;&amp; Pct &lt;= 0.70, "#76C442",   -- acceptable range\n    Pct &gt;= 0.20 &amp;&amp; Pct &lt;= 0.80, "#CD8942",   -- getting stretched — amber\n    "#E8431D"                                  -- too low or too high — red\n)</t>
  </si>
  <si>
    <t xml:space="preserve">Combined SLA Display</t>
  </si>
  <si>
    <t xml:space="preserve">\nSWITCH(\n    [Combined SLA Status],\n    "Healthy",    "Healthy",\n    "Marketing Risk",  "Marketing Risk",\n    "Operational Risk", "Operational Risk",\n    "High Risk",  "High Risk",\n    BLANK()\n)</t>
  </si>
  <si>
    <t xml:space="preserve">Combined SLA Status</t>
  </si>
  <si>
    <t xml:space="preserve">\nVAR OpsSLA = [Within SLA]\nVAR MktSLA = [Marketing Within SLA (Yes/No)]\nRETURN\nSWITCH(\n    TRUE(),\n    OpsSLA = "Yes" &amp;&amp; MktSLA = "Yes", "Healthy",\n    OpsSLA = "No"  &amp;&amp; MktSLA = "Yes", "Operational Risk",\n    OpsSLA = "Yes" &amp;&amp; MktSLA = "No",  "Marketing Risk",\n    OpsSLA = "No"  &amp;&amp; MktSLA = "No",  "High Risk",\n    BLANK()\n)</t>
  </si>
  <si>
    <t xml:space="preserve">Contribution Impression (Attri)</t>
  </si>
  <si>
    <t xml:space="preserve">\nSWITCH(\n    SELECTEDVALUE('Parameter Metric View'[Metric], "Volume"),\n    "Volume", [Impressions (Non-Organic)],\n    "Spend",  [Marketing Spend]\n)</t>
  </si>
  <si>
    <t xml:space="preserve">Critical (1/0)</t>
  </si>
  <si>
    <t xml:space="preserve">\nVAR X    = [Vacant Ready %]\nVAR Y    = [Absorption Days (Est)]\nVAR XCut = CALCULATE(MEDIANX(VALUES(dim_property[PropertyKey]), [Vacant Ready %]), ALL(dim_property))\nVAR YCut = CALCULATE(MEDIANX(VALUES(dim_property[PropertyKey]), [Absorption Days (Est)]), ALL(dim_property))\nRETURN IF(NOT ISBLANK(X) &amp;&amp; NOT ISBLANK(Y) &amp;&amp; X &gt;= XCut &amp;&amp; Y &gt;= YCut, 1, 0)</t>
  </si>
  <si>
    <t xml:space="preserve">Demand (1/0)</t>
  </si>
  <si>
    <t xml:space="preserve">\nVAR X    = [Vacant Ready %]\nVAR Y    = [Absorption Days (Est)]\nVAR XCut = CALCULATE(MEDIANX(VALUES(dim_property[PropertyKey]), [Vacant Ready %]), ALL(dim_property))\nVAR YCut = CALCULATE(MEDIANX(VALUES(dim_property[PropertyKey]), [Absorption Days (Est)]), ALL(dim_property))\nRETURN IF(NOT ISBLANK(X) &amp;&amp; NOT ISBLANK(Y) &amp;&amp; X &gt;= XCut &amp;&amp; Y &lt; YCut, 1, 0)</t>
  </si>
  <si>
    <t xml:space="preserve">Description GEO Quadrant Label</t>
  </si>
  <si>
    <t xml:space="preserve">\nVAR SellRate    = [Sell Rate]\nVAR Occupancy   = [Occupancy Rate %]\n\nVAR MedianSell  = \n    CALCULATE(\n        MEDIANX(VALUES(dim_property[PropertyKey]), [Sell Rate]),\n        ALL(dim_property)\n    )\nVAR MedianOcc   = \n    CALCULATE(\n        MEDIANX(VALUES(dim_property[PropertyKey]), [Occupancy Rate %]),\n        ALL(dim_property)\n    )\n\nRETURN\nSWITCH(\n    TRUE(),\n    ISBLANK(SellRate) || ISBLANK(Occupancy), BLANK(),\n    SellRate &gt;= MedianSell &amp;&amp; Occupancy &gt;= MedianOcc, "Scale — High Velocity · High Occupancy",\n    SellRate &lt;  MedianSell &amp;&amp; Occupancy &gt;= MedianOcc, "Coasting — Low Velocity · High Occupancy",\n    SellRate &gt;= MedianSell &amp;&amp; Occupancy &lt;  MedianOcc, "High Turnover — Leasing Fast · Still Vacant",\n    "Intervention — Low Velocity · Low Occupancy"\n)</t>
  </si>
  <si>
    <t xml:space="preserve">Executive Quadrant</t>
  </si>
  <si>
    <t xml:space="preserve">VAR Leases       = [New Leases (Last Touch)]\nVAR Spend        = [Marketing Spend]\nVAR MedianLeases = [Attributed Leases Median]\nVAR MedianSpend  = [Marketing Spend Median]\nRETURN\nSWITCH(\n    TRUE(),\n    ISBLANK(Leases) || ISBLANK(Spend), BLANK(),\n    Leases &gt;= MedianLeases &amp;&amp; Spend &lt;= MedianSpend, "Scale",\n    Leases &gt;= MedianLeases &amp;&amp; Spend &gt;  MedianSpend, "Optimize",\n    Leases &lt;  MedianLeases &amp;&amp; Spend &lt;= MedianSpend, "Investigate",\n    Leases &lt;  MedianLeases &amp;&amp; Spend &gt;  MedianSpend, "Immediate Action",\n    BLANK()\n)</t>
  </si>
  <si>
    <t xml:space="preserve">Executive Scatter Tooltip</t>
  </si>
  <si>
    <t xml:space="preserve">VAR RegionName = SELECTEDVALUE(dim_region[RegionName], "Portfolio")\nVAR Leases     = [New Leases (Last Touch)]\nVAR Spend      = [Marketing Spend]\nVAR CPL        = DIVIDE(Spend, Leases)\nVAR Coverage   = [Attribution Coverage % (Operational)]\nVAR Quadrant   = [Executive Quadrant]\nRETURN\nIF(\n    ISBLANK(Leases), BLANK(),\n    RegionName\n        &amp; " | " &amp; Quadrant\n        &amp; " | Leases: " &amp; FORMAT(Leases, "#,0")\n        &amp; " | Spend: " &amp; FORMAT(Spend, "$#,0")\n        &amp; " | CPL: " &amp; FORMAT(CPL, "$#,0")\n        &amp; " | Coverage: " &amp; FORMAT(Coverage, "0.0%")\n)</t>
  </si>
  <si>
    <t xml:space="preserve">Geo Insight 4 - Lead to Lease Gap</t>
  </si>
  <si>
    <t xml:space="preserve">\nVAR PortfolioL2L =\n    CALCULATE([Lead-to-Lease % (Actual)], ALL(dim_property))\nVAR MarketScores =\n    ADDCOLUMNS(\n        VALUES(dim_property[MarketName]),\n        "@Leads", CALCULATE(SUM(fact_leasing_daily[Leads])),\n        "@L2L",   CALCULATE([Lead-to-Lease % (Actual)])\n    )\nVAR WithGap =\n    ADDCOLUMNS(\n        FILTER(MarketScores, NOT ISBLANK([@L2L]) &amp;&amp; [@L2L] &lt; PortfolioL2L),\n        "@Gap", [@Leads] * (PortfolioL2L - [@L2L])\n    )\nVAR TopMarket  = TOPN(1, WithGap, [@Gap], DESC)\nVAR Market     = MAXX(TopMarket, [MarketName])\nVAR L2L        = MAXX(TopMarket, [@L2L])\nRETURN\nIF(\n    ISBLANK(Market), BLANK(),\n    UNICHAR(128201) &amp; " " &amp; Market &amp;\n    UNICHAR(13) &amp;\n    FORMAT(L2L, "0.0%") &amp;\n    " vs " &amp; FORMAT(PortfolioL2L, "0.0%") &amp; " avg"\n)</t>
  </si>
  <si>
    <t xml:space="preserve">GEO Insight 4 - Lead to Lease Gap 1</t>
  </si>
  <si>
    <t xml:space="preserve">VAR _IsProperty = HASONEVALUE(dim_property[PropertyKey])\nVAR _IsMarket   = HASONEVALUE(dim_property[MarketName]) &amp;&amp; NOT _IsProperty\nVAR _IsRegion   = HASONEVALUE(dim_property[RegionName]) &amp;&amp; NOT _IsMarket &amp;&amp; NOT _IsProperty\n\nVAR _PortfolioL2L = CALCULATE(\n    AVERAGEX(VALUES(dim_property[PropertyKey]), [Lead-to-Lease % (Actual)]),\n    ALL(dim_property), ALL(dim_market), ALL(dim_region))\n\nVAR _PortfolioWorstRegion =\n    VAR Scores = ADDCOLUMNS(VALUES(dim_region[RegionName]), "@L2L", CALCULATE(AVERAGEX(VALUES(dim_property[PropertyKey]), [Lead-to-Lease % (Actual)])))\n    VAR Bot  = TOPN(1, FILTER(Scores, NOT ISBLANK([@L2L])), [@L2L], ASC)\n    VAR Name = MAXX(Bot, dim_region[RegionName])\n    VAR L2L  = MAXX(Bot, [@L2L])\n    RETURN IF(ISBLANK(Name), BLANK(),\n        UNICHAR(8600) &amp; " " &amp; Name &amp; " " &amp; FORMAT(L2L, "0.0%") &amp; " vs " &amp; FORMAT(_PortfolioL2L, "0.0%") &amp; " avg")\n\nVAR _RegionWorstMarket =\n    VAR Scores = ADDCOLUMNS(VALUES(dim_property[MarketName]), "@L2L", CALCULATE(AVERAGEX(VALUES(dim_property[PropertyKey]), [Lead-to-Lease % (Actual)])))\n    VAR Bot  = TOPN(1, FILTER(Scores, NOT ISBLANK([@L2L])), [@L2L], ASC)\n    VAR Name = MAXX(Bot, dim_property[MarketName])\n    VAR L2L  = MAXX(Bot, [@L2L])\n    RETURN IF(ISBLANK(Name), BLANK(),\n        UNICHAR(8600) &amp; " " &amp; Name &amp; " " &amp; FORMAT(L2L, "0.0%") &amp; " vs " &amp; FORMAT(_PortfolioL2L, "0.0%") &amp; " avg")\n\nVAR _MarketWorstProperty =\n    VAR Scores = ADDCOLUMNS(VALUES(dim_property[PropertyName]), "@L2L", CALCULATE([Lead-to-Lease % (Actual)]))\n    VAR Bot  = TOPN(1, FILTER(Scores, NOT ISBLANK([@L2L])), [@L2L], ASC)\n    VAR Name = MAXX(Bot, dim_property[PropertyName])\n    VAR L2L  = MAXX(Bot, [@L2L])\n    RETURN IF(ISBLANK(Name), BLANK(),\n        UNICHAR(8600) &amp; " " &amp; Name &amp; " " &amp; FORMAT(L2L, "0.0%") &amp; " vs " &amp; FORMAT(_PortfolioL2L, "0.0%") &amp; " avg")\n\nVAR _PropertyDiag =\n    VAR _L2L = [Lead-to-Lease % (Actual)]\n    VAR _Gap = _L2L - _PortfolioL2L\n    RETURN UNICHAR(8600) &amp; " " &amp; SELECTEDVALUE(di ... [truncated]</t>
  </si>
  <si>
    <t xml:space="preserve">GEO Insight 4 - Lead to Lease Gap 2</t>
  </si>
  <si>
    <t xml:space="preserve">VAR _IsProperty = HASONEVALUE(dim_property[PropertyKey])\nVAR _IsMarket   = HASONEVALUE(dim_property[MarketName]) &amp;&amp; NOT _IsProperty\nVAR _IsRegion   = HASONEVALUE(dim_region[RegionName]) &amp;&amp; NOT _IsMarket &amp;&amp; NOT _IsProperty\n\nVAR _PortfolioL2L = CALCULATE(\n    AVERAGEX(VALUES(dim_property[PropertyKey]), [Lead-to-Lease % (Actual)]),\n    ALL(dim_property), ALL(dim_market), ALL(dim_region))\n\nVAR _PortfolioWorstRegion =\n    VAR _Scores = ADDCOLUMNS(VALUES(dim_region[RegionName]), "@L2L", CALCULATE(AVERAGEX(VALUES(dim_property[PropertyKey]), [Lead-to-Lease % (Actual)])))\n    VAR _Bot    = TOPN(1, FILTER(_Scores, NOT ISBLANK([@L2L])), [@L2L], ASC)\n    VAR _Name   = MAXX(_Bot, dim_region[RegionName])\n    VAR _L2L    = MAXX(_Bot, [@L2L])\n    RETURN IF(ISBLANK(_Name), BLANK(),\n        UNICHAR(8600) &amp; " " &amp; _Name &amp; " " &amp; FORMAT(_L2L, "0.0%") &amp; " vs " &amp; FORMAT(_PortfolioL2L, "0.0%") &amp; " avg")\n\nVAR _RegionWorstMarket =\n    VAR _Scores = ADDCOLUMNS(VALUES(dim_property[MarketAbbrev]), "@L2L", CALCULATE(AVERAGEX(VALUES(dim_property[PropertyKey]), [Lead-to-Lease % (Actual)])))\n    VAR _Bot    = TOPN(1, FILTER(_Scores, NOT ISBLANK([@L2L])), [@L2L], ASC)\n    VAR _Name   = MAXX(_Bot, dim_property[MarketAbbrev])\n    VAR _L2L    = MAXX(_Bot, [@L2L])\n    RETURN IF(ISBLANK(_Name), BLANK(),\n        UNICHAR(8600) &amp; " " &amp; _Name &amp; " " &amp; FORMAT(_L2L, "0.0%") &amp; " vs " &amp; FORMAT(_PortfolioL2L, "0.0%") &amp; " avg")\n\nVAR _MarketWorstProperty =\n    VAR _Scores = ADDCOLUMNS(VALUES(dim_property[PropertyAbbrev]), "@L2L", CALCULATE([Lead-to-Lease % (Actual)]))\n    VAR _Bot    = TOPN(1, FILTER(_Scores, NOT ISBLANK([@L2L])), [@L2L], ASC)\n    VAR _Name   = MAXX(_Bot, dim_property[PropertyAbbrev])\n    VAR _L2L    = MAXX(_Bot, [@L2L])\n    RETURN IF(ISBLANK(_Name), BLANK(),\n        UNICHAR(8600) &amp; " " &amp; _Name &amp; " " &amp; FORMAT(_L2L, "0.0%") &amp; " vs " &amp; FORMAT(_PortfolioL2L, "0.0%") &amp; " avg")\n\nVAR _PropertyDiag =\n    VAR _L2L = [Lead-to-Lease % (Actual)]\n    VAR _Gap = _L2L - _Portfolio ... [truncated]</t>
  </si>
  <si>
    <t xml:space="preserve">GEO Insight 4 - Lead to Lease Gap 3</t>
  </si>
  <si>
    <t xml:space="preserve">Geo Insight 5 - Occupancy Recovery Signal</t>
  </si>
  <si>
    <t xml:space="preserve">\nVAR MarketScores =\n    ADDCOLUMNS(\n        VALUES(dim_property[MarketName]),\n        "@OccNow", CALCULATE([Occupancy Rate %]),\n        "@Occ3M",  CALCULATE([Occupancy_Rate_3M]),\n        "@P2",     CALCULATE(\n                       AVERAGEX(\n                           VALUES(dim_property[PropertyKey]),\n                           [GPI Pillar 2 (Trend)]\n                       )\n                   )\n    )\nVAR Recovering =\n    FILTER(\n        MarketScores,\n        [@OccNow] &gt; [@Occ3M] &amp;&amp;\n        NOT ISBLANK([@P2]) &amp;&amp;\n        [@P2] &gt; 50\n    )\nVAR TopMarket  = TOPN(1, Recovering, [@OccNow] - [@Occ3M], DESC)\nVAR Market     = MAXX(TopMarket, [MarketName])\nVAR OccDelta   = MAXX(TopMarket, [@OccNow] - [@Occ3M])\nVAR P2Val      = MAXX(TopMarket, [@P2])\nRETURN\nIF(\n    ISBLANK(Market), BLANK(),\n    UNICHAR(9650) &amp; " " &amp; Market &amp;\n    UNICHAR(13) &amp;\n    "Occ +" &amp; FORMAT(OccDelta, "0.0%") &amp;\n    " · P2 " &amp; FORMAT(P2Val, "0.0")\n)</t>
  </si>
  <si>
    <t xml:space="preserve">GEO Insight 5 - Occupancy Recovery Signal 1</t>
  </si>
  <si>
    <t xml:space="preserve">VAR _IsProperty = HASONEVALUE(dim_property[PropertyKey])\nVAR _IsMarket   = HASONEVALUE(dim_property[MarketName]) &amp;&amp; NOT _IsProperty\nVAR _IsRegion   = HASONEVALUE(dim_property[RegionName]) &amp;&amp; NOT _IsMarket &amp;&amp; NOT _IsProperty\n\nVAR _PortfolioWorstRegion =\n    VAR Scores = ADDCOLUMNS(\n        VALUES(dim_region[RegionName]),\n        "@Occ",   CALCULATE(AVERAGEX(VALUES(dim_property[PropertyKey]), [Occupancy Rate %])),\n        "@Prev",  CALCULATE(AVERAGEX(VALUES(dim_property[PropertyKey]), [Occupancy Rate %]), DATEADD(dim_date[Date], -1, MONTH)))\n    VAR WithDelta = ADDCOLUMNS(FILTER(Scores, NOT ISBLANK([@Occ]) &amp;&amp; NOT ISBLANK([@Prev])), "@D", [@Occ] - [@Prev])\n    VAR Bot  = TOPN(1, WithDelta, [@D], ASC)\n    VAR Name = MAXX(Bot, dim_region[RegionName])\n    VAR Occ  = MAXX(Bot, [@Occ])\n    VAR D    = MAXX(Bot, [@D])\n    RETURN IF(ISBLANK(Name), BLANK(),\n        IF(D &gt;= 0, UNICHAR(9650), UNICHAR(9660)) &amp; " " &amp; Name &amp;\n        " Occ " &amp; FORMAT(Occ, "0.0%") &amp;\n        " · " &amp; IF(D &gt;= 0, "+", "") &amp; FORMAT(D * 100, "0.0") &amp; "pp vs prior period")\n\nVAR _RegionWorstMarket =\n    VAR Scores = ADDCOLUMNS(\n        VALUES(dim_property[MarketName]),\n        "@Occ",  CALCULATE(AVERAGEX(VALUES(dim_property[PropertyKey]), [Occupancy Rate %])),\n        "@Prev", CALCULATE(AVERAGEX(VALUES(dim_property[PropertyKey]), [Occupancy Rate %]), DATEADD(dim_date[Date], -1, MONTH)))\n    VAR WithDelta = ADDCOLUMNS(FILTER(Scores, NOT ISBLANK([@Occ]) &amp;&amp; NOT ISBLANK([@Prev])), "@D", [@Occ] - [@Prev])\n    VAR Bot  = TOPN(1, WithDelta, [@D], ASC)\n    VAR Name = MAXX(Bot, dim_property[MarketName])\n    VAR Occ  = MAXX(Bot, [@Occ])\n    VAR D    = MAXX(Bot, [@D])\n    RETURN IF(ISBLANK(Name), BLANK(),\n        IF(D &gt;= 0, UNICHAR(9650), UNICHAR(9660)) &amp; " " &amp; Name &amp;\n        " Occ " &amp; FORMAT(Occ, "0.0%") &amp;\n        " · " &amp; IF(D &gt;= 0, "+", "") &amp; FORMAT(D * 100, "0.0") &amp; "pp vs prior period")\n\nVAR _MarketWorstProperty =\n    VAR Scores = ADDCOLUMNS(\n        VALUES(dim_property[PropertyNa ... [truncated]</t>
  </si>
  <si>
    <t xml:space="preserve">GEO Insight 5 - Occupancy Recovery Signal 2</t>
  </si>
  <si>
    <t xml:space="preserve">VAR _IsProperty = HASONEVALUE(dim_property[PropertyKey])\nVAR _IsMarket   = HASONEVALUE(dim_property[MarketName]) &amp;&amp; NOT _IsProperty\nVAR _IsRegion   = HASONEVALUE(dim_region[RegionName]) &amp;&amp; NOT _IsMarket &amp;&amp; NOT _IsProperty\n\nVAR _PortfolioWorstRegion =\n    VAR _Scores = ADDCOLUMNS(VALUES(dim_region[RegionName]),\n        "@Occ",  CALCULATE(AVERAGEX(VALUES(dim_property[PropertyKey]), [Occupancy Rate %])),\n        "@Prev", CALCULATE(AVERAGEX(VALUES(dim_property[PropertyKey]), [Occupancy Rate %]), DATEADD(dim_date[Date], -1, MONTH)))\n    VAR _Wd    = ADDCOLUMNS(FILTER(_Scores, NOT ISBLANK([@Occ]) &amp;&amp; NOT ISBLANK([@Prev])), "@D", [@Occ] - [@Prev])\n    VAR _Bot   = TOPN(1, _Wd, [@D], ASC)\n    VAR _Name  = MAXX(_Bot, dim_region[RegionName])\n    VAR _Occ   = MAXX(_Bot, [@Occ])\n    VAR _D     = MAXX(_Bot, [@D])\n    RETURN IF(ISBLANK(_Name), BLANK(),\n        IF(_D &gt;= 0, UNICHAR(9650), UNICHAR(9660)) &amp; " " &amp; _Name &amp;\n        " Occ " &amp; FORMAT(_Occ, "0.0%") &amp;\n        " · " &amp; IF(_D &gt;= 0, "+", "") &amp; FORMAT(_D * 100, "0.0") &amp; "pp vs prior period")\n\nVAR _RegionWorstMarket =\n    VAR _Scores = ADDCOLUMNS(VALUES(dim_property[MarketAbbrev]),\n        "@Occ",  CALCULATE(AVERAGEX(VALUES(dim_property[PropertyKey]), [Occupancy Rate %])),\n        "@Prev", CALCULATE(AVERAGEX(VALUES(dim_property[PropertyKey]), [Occupancy Rate %]), DATEADD(dim_date[Date], -1, MONTH)))\n    VAR _Wd    = ADDCOLUMNS(FILTER(_Scores, NOT ISBLANK([@Occ]) &amp;&amp; NOT ISBLANK([@Prev])), "@D", [@Occ] - [@Prev])\n    VAR _Bot   = TOPN(1, _Wd, [@D], ASC)\n    VAR _Name  = MAXX(_Bot, dim_property[MarketAbbrev])\n    VAR _Occ   = MAXX(_Bot, [@Occ])\n    VAR _D     = MAXX(_Bot, [@D])\n    RETURN IF(ISBLANK(_Name), BLANK(),\n        IF(_D &gt;= 0, UNICHAR(9650), UNICHAR(9660)) &amp; " " &amp; _Name &amp;\n        " Occ " &amp; FORMAT(_Occ, "0.0%") &amp;\n        " · " &amp; IF(_D &gt;= 0, "+", "") &amp; FORMAT(_D * 100, "0.0") &amp; "pp vs prior period")\n\nVAR _MarketWorstProperty =\n    VAR _Scores = ADDCOLUMNS(VALUES(dim_property[PropertyAbbrev]),\n ... [truncated]</t>
  </si>
  <si>
    <t xml:space="preserve">GEO Insight 5 - Occupancy Recovery Signal 3</t>
  </si>
  <si>
    <t xml:space="preserve">GEO Quadrant Short</t>
  </si>
  <si>
    <t xml:space="preserve">\nVAR SellRate  = [Sell Rate]\nVAR Occupancy = [Occupancy Rate %]\n\nVAR MedianSell =\n    CALCULATE(\n        MEDIANX(VALUES(dim_property[PropertyKey]), [Sell Rate]),\n        ALL(dim_property)\n    )\n\nVAR MedianOcc =\n    CALCULATE(\n        MEDIANX(VALUES(dim_property[PropertyKey]), [Occupancy Rate %]),\n        ALL(dim_property)\n    )\n\nRETURN\nSWITCH(\n    TRUE(),\n    ISBLANK(SellRate) || ISBLANK(Occupancy), BLANK(),\n    SellRate &gt;= MedianSell &amp;&amp; Occupancy &gt;= MedianOcc, "Scale",\n    SellRate &lt;  MedianSell &amp;&amp; Occupancy &gt;= MedianOcc, "Coasting",\n    SellRate &gt;= MedianSell &amp;&amp; Occupancy &lt;  MedianOcc, "High Turn Over",\n    "Intervention"\n)</t>
  </si>
  <si>
    <t xml:space="preserve">Healthy (1/0)</t>
  </si>
  <si>
    <t xml:space="preserve">\nVAR X    = [Vacant Ready %]\nVAR Y    = [Absorption Days (Est)]\nVAR XCut = CALCULATE(MEDIANX(VALUES(dim_property[PropertyKey]), [Vacant Ready %]), ALL(dim_property))\nVAR YCut = CALCULATE(MEDIANX(VALUES(dim_property[PropertyKey]), [Absorption Days (Est)]), ALL(dim_property))\nRETURN IF(NOT ISBLANK(X) &amp;&amp; NOT ISBLANK(Y) &amp;&amp; X &lt; XCut &amp;&amp; Y &lt; YCut, 1, 0)</t>
  </si>
  <si>
    <t xml:space="preserve">Healthy Properties</t>
  </si>
  <si>
    <t xml:space="preserve">\nSUMX(\n    VALUES('dim_property'[PropertyKey]),\n    [Healthy (1/0)]\n)\n</t>
  </si>
  <si>
    <t xml:space="preserve">Immediate Action (Count)</t>
  </si>
  <si>
    <t xml:space="preserve">\nVAR Numerator =\n    SUMX(\n        VALUES('dim_property'[PropertyKey]),\n        VAR Units = [Vacant Ready Units (Est)]\n        VAR Days  = [Absorption Days (Est)]\n        RETURN\n            IF(\n                NOT ISBLANK(Units) &amp;&amp; NOT ISBLANK(Days)\n                    &amp;&amp; Units &gt; [SLA Units]\n                    &amp;&amp; Days  &gt; [SLA Days],\n                1, 0\n            )\n    )\nRETURN\nNumerator\n</t>
  </si>
  <si>
    <t xml:space="preserve">Immediate Action Net Change Label</t>
  </si>
  <si>
    <t xml:space="preserve">\nVAR Change = [Immediate Action Net Change vs 30D]\nRETURN\nIF(\n    Change &gt; 0,\n    "▲ " &amp; Change,\n    "▼ " &amp; ABS(Change)\n)\n</t>
  </si>
  <si>
    <t xml:space="preserve">Immediate Action Properties</t>
  </si>
  <si>
    <t xml:space="preserve">\nSUMX(\n    VALUES('dim_property'[PropertyKey]),\n    [Critical (1/0)]\n)\n</t>
  </si>
  <si>
    <t xml:space="preserve">Immediate Action Properties %</t>
  </si>
  <si>
    <t xml:space="preserve">\nVAR _count =\n    SUMX(\n        VALUES('dim_property'[PropertyKey]),\n        [Critical (1/0)]\n    )\nVAR _total = DISTINCTCOUNT('dim_property'[PropertyKey])\nRETURN\n    FORMAT(DIVIDE(_count, _total), "0.0%")</t>
  </si>
  <si>
    <t xml:space="preserve">Improve Quality Properties</t>
  </si>
  <si>
    <t xml:space="preserve">\nCOUNTROWS(\n    FILTER(\n        VALUES('dim_property'[PropertyKey]),\n        [Marketing Quadrant] = "Improve Quality"\n    )\n)</t>
  </si>
  <si>
    <t xml:space="preserve">Lead-to-Lease % (Actual)</t>
  </si>
  <si>
    <t xml:space="preserve">DIVIDE([New Leases (Actual)], [Leads (Actual)])</t>
  </si>
  <si>
    <t xml:space="preserve">Leads per Vacancy</t>
  </si>
  <si>
    <t xml:space="preserve">Pipeline health: leads generated divided by vacant units.</t>
  </si>
  <si>
    <t xml:space="preserve">DIVIDE([Visits (Actual)], [Vacant Units])</t>
  </si>
  <si>
    <t xml:space="preserve">Lease Velocity</t>
  </si>
  <si>
    <t xml:space="preserve">Rate at which vacant units are being leased over the period.</t>
  </si>
  <si>
    <t xml:space="preserve">AVERAGEX(\n    VALUES ( dim_property[PropertyKey] ),\n    CALCULATE ( [Lease Velocity (30D)] )\n)</t>
  </si>
  <si>
    <t xml:space="preserve">Leases per Available Unit</t>
  </si>
  <si>
    <t xml:space="preserve">Leasing efficiency: new leases divided by available units.</t>
  </si>
  <si>
    <t xml:space="preserve">DIVIDE([New Leases (Actual)], [Available Units])</t>
  </si>
  <si>
    <t xml:space="preserve">Market - Highest Marketing vs Ops Gap</t>
  </si>
  <si>
    <t xml:space="preserve">VAR Summary =\n    ADDCOLUMNS(\n        VALUES(dim_market[MarketName]),\n        "__Val",\n        CALCULATE(\n            [Property Vendor Index (Normalized)] - [Operations Index Score]\n        )\n    )\nVAR FilteredSummary = FILTER(Summary, NOT ISBLANK([__Val]))\nVAR TopRow = TOPN(1, FilteredSummary, [__Val], DESC)\nVAR TopName = MAXX(TopRow, [MarketName])\nVAR TopVal  = MAXX(TopRow, [__Val])\nRETURN\nIF(\n    ISBLANK(TopName), BLANK(),\n    UNICHAR(9888) &amp; " " &amp; TopName &amp; " - " &amp; FORMAT(TopVal, "0.0")\n)</t>
  </si>
  <si>
    <t xml:space="preserve">Marketing Efficiency Score</t>
  </si>
  <si>
    <t xml:space="preserve">\nVAR CPL = [Cost per Lease (Actual)]\nVAR L2L = [Lead-to-Lease % (Actual)]\n\nRETURN\nSWITCH(\n    TRUE(),\n    CPL &lt;= 275 &amp;&amp; L2L &gt;= 0.185, 4,\n    CPL &gt; 275 &amp;&amp; L2L &gt;= 0.185, 3,\n    CPL &lt;= 275 &amp;&amp; L2L &lt; 0.185, 2,\n    CPL &gt; 275 &amp;&amp; L2L &lt; 0.185, 1,\n    BLANK()\n)</t>
  </si>
  <si>
    <t xml:space="preserve">Marketing Quadrant</t>
  </si>
  <si>
    <t xml:space="preserve">VAR CPL =\n    IF(\n        ISINSCOPE(dim_property[PropertyKey]),\n        [Cost per Lease (Actual)],\n        AVERAGEX(VALUES(dim_property[PropertyKey]), [Cost per Lease (Actual)])\n    )\nVAR L2L =\n    IF(\n        ISINSCOPE(dim_property[PropertyKey]),\n        [Lead-to-Lease % (Actual)],\n        AVERAGEX(VALUES(dim_property[PropertyKey]), [Lead-to-Lease % (Actual)])\n    )\nVAR PortfolioCPL =\n    CALCULATE(\n        AVERAGEX(VALUES(dim_property[PropertyKey]), [Cost per Lease (Actual)]),\n        ALL(dim_property), ALL(dim_market), ALL(dim_region)\n    )\nVAR PortfolioL2L =\n    CALCULATE(\n        AVERAGEX(VALUES(dim_property[PropertyKey]), [Lead-to-Lease % (Actual)]),\n        ALL(dim_property), ALL(dim_market), ALL(dim_region)\n    )\nRETURN\nSWITCH(\n    TRUE(),\n    CPL &lt;= PortfolioCPL &amp;&amp; L2L &gt;= PortfolioL2L, "Scale",\n    CPL &lt;= PortfolioCPL &amp;&amp; L2L &lt;  PortfolioL2L, "Investigate",\n    CPL &gt;  PortfolioCPL &amp;&amp; L2L &gt;= PortfolioL2L, "Optimize",\n    CPL &gt;  PortfolioCPL &amp;&amp; L2L &lt;  PortfolioL2L, "Immediate Action",\n    BLANK()\n)</t>
  </si>
  <si>
    <t xml:space="preserve">Marketing Quadrant Counts %</t>
  </si>
  <si>
    <t xml:space="preserve">\nVAR Total =\n    COUNTROWS(VALUES(dim_property[PropertyKey]))\n\nVAR ScaleInvest =\n    COUNTX(\n        VALUES(dim_property[PropertyKey]),\n        VAR Quadrant = CALCULATE([Marketing Quadrant])\n        RETURN IF(Quadrant = "Scale &amp; Invest", 1, BLANK())\n    )\n\nVAR OptimizeCost =\n    COUNTX(\n        VALUES(dim_property[PropertyKey]),\n        VAR Quadrant = CALCULATE([Marketing Quadrant])\n        RETURN IF(Quadrant = "Optimize Cost", 1, BLANK())\n    )\n\nVAR ImproveQuality =\n    COUNTX(\n        VALUES(dim_property[PropertyKey]),\n        VAR Quadrant = CALCULATE([Marketing Quadrant])\n        RETURN IF(Quadrant = "Improve Quality", 1, BLANK())\n    )\n\nVAR Underperforming =\n    COUNTX(\n        VALUES(dim_property[PropertyKey]),\n        VAR Quadrant = CALCULATE([Marketing Quadrant])\n        RETURN IF(Quadrant = "Underperforming", 1, BLANK())\n    )\n\nRETURN\nIF(\n    Total = 0,\n    BLANK(),\n    "Scale &amp; Invest: "    &amp; ScaleInvest    &amp; " (" &amp; FORMAT(DIVIDE(ScaleInvest,    Total), "0%") &amp; ")" &amp;\n    " | Optimize Cost: "  &amp; OptimizeCost   &amp; " (" &amp; FORMAT(DIVIDE(OptimizeCost,   Total), "0%") &amp; ")" &amp;\n    " | Improve Quality: " &amp; ImproveQuality &amp; " (" &amp; FORMAT(DIVIDE(ImproveQuality, Total), "0%") &amp; ")" &amp;\n    " | Underperforming: " &amp; Underperforming &amp; " (" &amp; FORMAT(DIVIDE(Underperforming, Total), "0%") &amp; ")"\n)</t>
  </si>
  <si>
    <t xml:space="preserve">Marketing Spen Region Avg</t>
  </si>
  <si>
    <t xml:space="preserve">\nCALCULATE(\n    AVERAGEX(\n        VALUES(dim_region[RegionKey]),\n        [Marketing Spend]\n    ),\n    ALL(dim_region)\n)</t>
  </si>
  <si>
    <t xml:space="preserve">Marketing Spend (Funnel)</t>
  </si>
  <si>
    <t xml:space="preserve">\nSUM('fact_marketing_spend_daily'[Spend])</t>
  </si>
  <si>
    <t xml:space="preserve">Marketing Spend (Remainder)</t>
  </si>
  <si>
    <t xml:space="preserve">\nVAR Spend  = [Marketing Spend]\nVAR Leases = [New Leases (Funnel)]\nRETURN\nMAX( Spend - Leases, 0 )\n</t>
  </si>
  <si>
    <t xml:space="preserve">Marketing Spend Median</t>
  </si>
  <si>
    <t xml:space="preserve">MEDIANX(\n    VALUES(dim_region[RegionName]),\n    [Marketing Spend]\n)</t>
  </si>
  <si>
    <t xml:space="preserve">Marketing Within SLA (Yes/No)</t>
  </si>
  <si>
    <t xml:space="preserve">\nVAR CPL = [Cost per Lease (Actual)]\nVAR L2L = [Lead-to-Lease % (Actual)]\n\n-- CPL: 80th percentile — cheaper 80% of portfolio passes on cost\n-- With generated data this lands at ~$1,015\nVAR CPL_Threshold =\n    PERCENTILEX.INC(\n        ALL(dim_property),\n        CALCULATE([Cost per Lease (Actual)]),\n        0.80\n    )\n\n-- L2L: 10th percentile — only the very bottom 10% fail on conversion\n-- Keeps L2L as a meaningful but non-punishing gate given flat distribution\nVAR L2L_Threshold =\n    PERCENTILEX.INC(\n        ALL(dim_property),\n        CALCULATE([Lead-to-Lease % (Actual)]),\n        0.10\n    )\n\nRETURN\nIF(\n    ISBLANK(CPL) || ISBLANK(L2L),\n    BLANK(),\n    IF(\n        CPL &lt;= CPL_Threshold &amp;&amp; L2L &gt;= L2L_Threshold,\n        "Yes",\n        "No"\n    )\n)</t>
  </si>
  <si>
    <t xml:space="preserve">Monthly Revenue (Estimated)</t>
  </si>
  <si>
    <t xml:space="preserve">SUMX(\n    VALUES(dim_property[PropertyKey]),\n    VAR Occupied =\n        CALCULATE(\n            LASTNONBLANKVALUE(\n                dim_date[Date],\n                SUM(fact_property_ops_daily[OccupiedUnits])\n            )\n        )\n    VAR Rent =\n        CALCULATE(\n            MAX(dim_property[MonthlyRent])\n        )\n    RETURN\n    IF(\n        NOT ISBLANK(Occupied) &amp;&amp; NOT ISBLANK(Rent),\n        Occupied * Rent,\n        BLANK()\n    )\n)</t>
  </si>
  <si>
    <t xml:space="preserve">Net Absorption</t>
  </si>
  <si>
    <t xml:space="preserve">Move-Ins minus Move-Outs — net change in occupied units.</t>
  </si>
  <si>
    <t xml:space="preserve">[Move-Ins] - [Move-Outs]</t>
  </si>
  <si>
    <t xml:space="preserve">Not Ready Backlog Days (Est)</t>
  </si>
  <si>
    <t xml:space="preserve">\nVAR Days =\n    DIVIDE( [Vacant Not Ready Units (Est)], [Avg Daily New Leases (30D)] )\nRETURN\nIF( ISBLANK(Days), BLANK(), MIN(Days, 60) )\n\n</t>
  </si>
  <si>
    <t xml:space="preserve">Occupancy Median (Scatter)</t>
  </si>
  <si>
    <t xml:space="preserve">\nMEDIANX(\n    VALUES(dim_property[PropertyKey]),\n    [Occupancy Rate %]\n)</t>
  </si>
  <si>
    <t xml:space="preserve">Operational Quadrant</t>
  </si>
  <si>
    <t xml:space="preserve">\nVAR X    = [Vacant Ready %]\nVAR Y    = [Absorption Days (Est)]\nVAR XCut = \n    CALCULATE(\n        MEDIANX(VALUES(dim_property[PropertyKey]), [Vacant Ready %]),\n        ALL(dim_property)\n    )\nVAR YCut = \n    CALCULATE(\n        MEDIANX(VALUES(dim_property[PropertyKey]), [Absorption Days (Est)]),\n        ALL(dim_property)\n    )\nRETURN\nSWITCH(\n    TRUE(),\n    ISBLANK(X) || ISBLANK(Y), BLANK(),\n    X &lt;  XCut &amp;&amp; Y &lt;  YCut,   "Healthy",    -- low vacancy, fast absorption\n    X &gt;= XCut &amp;&amp; Y &lt;  YCut,   "Demand",     -- high vacancy, fast absorption = demand gap\n    X &lt;  XCut &amp;&amp; Y &gt;= YCut,   "Velocity",   -- low vacancy, slow absorption = velocity problem\n    "Critical"                               -- high vacancy, slow absorption\n)</t>
  </si>
  <si>
    <t xml:space="preserve">Ops Scatter Tooltip</t>
  </si>
  <si>
    <t xml:space="preserve">\nVAR SellRate    = [Sell Rate]\nVAR Occupancy   = [Occupancy Rate %]\nVAR CostPerLease = [Cost per Lease (Actual)]\nVAR Quadrant    = [Description GEO Quadrant Label]\nVAR PropName    = SELECTEDVALUE(dim_property[PropertyName])\n\nRETURN\nIF(\n    ISBLANK(SellRate), BLANK(),\n    PropName\n        &amp; " | Sell Rate: "  &amp; FORMAT(SellRate,     "0.0%")\n        &amp; " | Occ: "        &amp; FORMAT(Occupancy,    "0.0%")\n        &amp; " | CPL: "        &amp; FORMAT(CostPerLease, "$#,0")\n        &amp; " | "             &amp; Quadrant\n)</t>
  </si>
  <si>
    <t xml:space="preserve">Optimize Cost Properties</t>
  </si>
  <si>
    <t xml:space="preserve">\nCOUNTROWS(\n    FILTER(\n        VALUES('dim_property'[PropertyKey]),\n        [Marketing Quadrant] = "Optimize Cost"\n    )\n)</t>
  </si>
  <si>
    <t xml:space="preserve">Partial Breach Properties</t>
  </si>
  <si>
    <t xml:space="preserve">VAR SLA_Exposure = [SLA Exposure %]\nVAR SLA_Days     = [SLA Days]\nRETURN\nCALCULATE(\n    DISTINCTCOUNT(dim_property[PropertyKey]),\n    FILTER(\n        VALUES(dim_property[PropertyKey]),\n        VAR ExposurePct = CALCULATE([Vacant Ready %])\n        VAR Days        = CALCULATE([Absorption Days (Est)])\n        VAR AboveExp    = NOT ISBLANK(ExposurePct) &amp;&amp; ExposurePct &gt; SLA_Exposure\n        VAR AboveDays   = NOT ISBLANK(Days) &amp;&amp; Days &gt; SLA_Days\n        RETURN (AboveExp || AboveDays) &amp;&amp; NOT (AboveExp &amp;&amp; AboveDays)\n    )\n)</t>
  </si>
  <si>
    <t xml:space="preserve">Percentage in SLA</t>
  </si>
  <si>
    <t xml:space="preserve">\nVAR HealthyCount =\n    CALCULATE(\n        COUNTROWS(VALUES(dim_property[PropertyKey])),\n        FILTER(\n            VALUES(dim_property[PropertyKey]),\n            [Combined SLA Status] = "Healthy"\n        )\n    )\n\nVAR TotalProperties =\n    COUNTROWS(VALUES(dim_property[PropertyKey]))\n\nRETURN\nCOALESCE(\n    DIVIDE(HealthyCount, TotalProperties, 0),\n    0\n)</t>
  </si>
  <si>
    <t xml:space="preserve">Properties Within SLA %</t>
  </si>
  <si>
    <t xml:space="preserve">\nVAR Numerator =\n    SUMX(\n        VALUES('dim_property'[PropertyKey]),\n        [Within SLA (1/0)]\n    )\nVAR Denominator =\n    DISTINCTCOUNT('dim_property'[PropertyKey])\nRETURN\nDIVIDE(Numerator, Denominator)\n</t>
  </si>
  <si>
    <t xml:space="preserve">Quadrant % Selected</t>
  </si>
  <si>
    <t xml:space="preserve">\nVAR _Quadrant =\n    SELECTEDVALUE('Table Geo Matrix Quadrant Selector'[Quadrant])\nRETURN\nSWITCH(\n    _Quadrant,\n    "High Turn Over", [Quadrant_HighTurnover_Pct],\n    "Intervention",   [Quadrant_Intervention_Pct],\n    "Coasting",       [Quadrant_Coasting_Pct],\n    "Scale",          [Quadrant_Scale_Pct],\n    BLANK()\n)</t>
  </si>
  <si>
    <t xml:space="preserve">Quadrant Display</t>
  </si>
  <si>
    <t xml:space="preserve">VAR Icon  = [Quadrant Icon]\nVAR Label = [Quadrant Label]\nRETURN\nIF(\n    ISBLANK(Icon) || ISBLANK(Label), BLANK(),\n    Icon &amp; "  " &amp; Label\n)</t>
  </si>
  <si>
    <t xml:space="preserve">Quadrant Label</t>
  </si>
  <si>
    <t xml:space="preserve">\nVAR HasOneProperty = HASONEVALUE(dim_property[PropertyKey])\nVAR VendorIdx = [Property Vendor Index (Normalized)]\nVAR OpsIdx = [Operations Index Score]\nVAR AvgVendor =\n    AVERAGEX(\n        ALLSELECTED(dim_property[PropertyKey]),\n        CALCULATE([Property Vendor Index (Normalized)])\n    )\nVAR AvgOps =\n    AVERAGEX(\n        ALLSELECTED(dim_property[PropertyKey]),\n        CALCULATE([Operations Index Score])\n    )\nRETURN\nIF(\n    NOT HasOneProperty,\n    BLANK(),\n    SWITCH(\n        TRUE(),\n        ISBLANK(VendorIdx) || ISBLANK(OpsIdx), BLANK(),\n        VendorIdx &gt;= AvgVendor &amp;&amp; OpsIdx &gt;= AvgOps, "Efficient -- Scale Up",\n        VendorIdx &lt;  AvgVendor &amp;&amp; OpsIdx &gt;= AvgOps, "Reduce Marketing Cost",\n        VendorIdx &gt;= AvgVendor &amp;&amp; OpsIdx &lt;  AvgOps, "Ops Lagging -- Review Operations",\n        VendorIdx &lt;  AvgVendor &amp;&amp; OpsIdx &lt;  AvgOps, "Critical -- Immediate Action",\n        BLANK()\n    )\n)</t>
  </si>
  <si>
    <t xml:space="preserve">Quadrant Short</t>
  </si>
  <si>
    <t xml:space="preserve">VAR VendorIdx  = [Property Vendor Index (Normalized)]\nVAR OpsIdx    = [Operations Index Score]\nVAR AvgVendor = [Property Vendor Index Avg]\nVAR AvgOps    = [Ops Index Average]\nRETURN\nSWITCH(\n    TRUE(),\n    ISBLANK(VendorIdx) || ISBLANK(OpsIdx), BLANK(),\n    VendorIdx &gt;= AvgVendor &amp;&amp; OpsIdx &gt;= AvgOps, "Efficient",\n    VendorIdx &lt;  AvgVendor &amp;&amp; OpsIdx &gt;= AvgOps, "Reduce Mkt",\n    VendorIdx &gt;= AvgVendor &amp;&amp; OpsIdx &lt;  AvgOps, "Ops Lagging",\n    VendorIdx &lt;  AvgVendor &amp;&amp; OpsIdx &lt;  AvgOps, "Critical",\n    BLANK()\n)</t>
  </si>
  <si>
    <t xml:space="preserve">Quadrant_Coasting_Count</t>
  </si>
  <si>
    <t xml:space="preserve">\nCALCULATE(\n    COUNTROWS(VALUES(dim_property[PropertyKey])),\n    FILTER(\n        VALUES(dim_property[PropertyKey]),\n        VAR SellRate  = CALCULATE([Sell Rate])\n        VAR Occupancy = CALCULATE([Occupancy Rate %])\n        VAR MedianSell =\n            CALCULATE(\n                MEDIANX(VALUES(dim_property[PropertyKey]), [Sell Rate]),\n                ALL(dim_property)\n            )\n        VAR MedianOcc =\n            CALCULATE(\n                MEDIANX(VALUES(dim_property[PropertyKey]), [Occupancy Rate %]),\n                ALL(dim_property)\n            )\n        RETURN\n        SellRate &lt; MedianSell &amp;&amp; Occupancy &gt;= MedianOcc\n    )\n)</t>
  </si>
  <si>
    <t xml:space="preserve">Quadrant_Coasting_Pct</t>
  </si>
  <si>
    <t xml:space="preserve">\nCOALESCE(\n    DIVIDE(\n        [Quadrant_HighTurnover_Count],\n        COUNTROWS(VALUES(dim_property[PropertyKey])),\n        0\n    ),\n    0\n)</t>
  </si>
  <si>
    <t xml:space="preserve">Quadrant_HighTurnover_Count</t>
  </si>
  <si>
    <t xml:space="preserve">\nCALCULATE(\n    COUNTROWS(VALUES(dim_property[PropertyKey])),\n    FILTER(\n        VALUES(dim_property[PropertyKey]),\n        VAR SellRate  = CALCULATE([Sell Rate])\n        VAR Occupancy = CALCULATE([Occupancy Rate %])\n        VAR MedianSell =\n            CALCULATE(\n                MEDIANX(VALUES(dim_property[PropertyKey]), [Sell Rate]),\n                ALL(dim_property)\n            )\n        VAR MedianOcc =\n            CALCULATE(\n                MEDIANX(VALUES(dim_property[PropertyKey]), [Occupancy Rate %]),\n                ALL(dim_property)\n            )\n        RETURN\n        SellRate &gt;= MedianSell &amp;&amp; Occupancy &lt; MedianOcc\n    )\n)</t>
  </si>
  <si>
    <t xml:space="preserve">Quadrant_HighTurnOver_Pct</t>
  </si>
  <si>
    <t xml:space="preserve">\nVAR Result =\n    DIVIDE(\n        [Quadrant_HighTurnover_Count],\n        COUNTROWS(VALUES(dim_property[PropertyKey])),\n        0\n    )\nRETURN\nCOALESCE(Result, 0)</t>
  </si>
  <si>
    <t xml:space="preserve">Quadrant_Intervention_Count</t>
  </si>
  <si>
    <t xml:space="preserve">\nCALCULATE(\n    COUNTROWS(VALUES(dim_property[PropertyKey])),\n    FILTER(\n        VALUES(dim_property[PropertyKey]),\n        VAR SellRate  = CALCULATE([Sell Rate])\n        VAR Occupancy = CALCULATE([Occupancy Rate %])\n        VAR MedianSell =\n            CALCULATE(\n                MEDIANX(VALUES(dim_property[PropertyKey]), [Sell Rate]),\n                ALL(dim_property)\n            )\n        VAR MedianOcc =\n            CALCULATE(\n                MEDIANX(VALUES(dim_property[PropertyKey]), [Occupancy Rate %]),\n                ALL(dim_property)\n            )\n        RETURN\n        SellRate &lt; MedianSell &amp;&amp; Occupancy &lt; MedianOcc\n    )\n)</t>
  </si>
  <si>
    <t xml:space="preserve">Quadrant_Intervention_Pct</t>
  </si>
  <si>
    <t xml:space="preserve">\nVAR Result =\n    DIVIDE(\n        [Quadrant_Intervention_Count],\n        COUNTROWS(VALUES(dim_property[PropertyKey])),\n        0\n    )\nRETURN\nCOALESCE(Result, 0)</t>
  </si>
  <si>
    <t xml:space="preserve">Quadrant_Scale_Count</t>
  </si>
  <si>
    <t xml:space="preserve">\nCALCULATE(\n    COUNTROWS(VALUES(dim_property[PropertyKey])),\n    FILTER(\n        VALUES(dim_property[PropertyKey]),\n        VAR SellRate  = CALCULATE([Sell Rate])\n        VAR Occupancy = CALCULATE([Occupancy Rate %])\n        VAR MedianSell =\n            CALCULATE(\n                MEDIANX(VALUES(dim_property[PropertyKey]), [Sell Rate]),\n                ALL(dim_property)\n            )\n        VAR MedianOcc =\n            CALCULATE(\n                MEDIANX(VALUES(dim_property[PropertyKey]), [Occupancy Rate %]),\n                ALL(dim_property)\n            )\n        RETURN\n        SellRate &gt;= MedianSell &amp;&amp; Occupancy &gt;= MedianOcc\n    )\n)</t>
  </si>
  <si>
    <t xml:space="preserve">Quadrant_Scale_Pct</t>
  </si>
  <si>
    <t xml:space="preserve">\nVAR Result =\n    DIVIDE(\n        [Quadrant_Scale_Count],\n        COUNTROWS(VALUES(dim_property[PropertyKey])),\n        0\n    )\nRETURN\nCOALESCE(Result, 0)</t>
  </si>
  <si>
    <t xml:space="preserve">Scale &amp; Invest Properties</t>
  </si>
  <si>
    <t xml:space="preserve">\nCOUNTROWS(\n    FILTER(\n        VALUES('dim_property'[PropertyKey]),\n        [Marketing Quadrant] = "Scale &amp; Invest"\n    )\n)</t>
  </si>
  <si>
    <t xml:space="preserve">Sell Rate</t>
  </si>
  <si>
    <t xml:space="preserve">Percentage of available units converted to leases in the period.</t>
  </si>
  <si>
    <t xml:space="preserve">\nVAR DaysInFilter =\n    DATEDIFF(MIN(dim_date[Date]), MAX(dim_date[Date]), DAY) + 1\nRETURN\nDIVIDE(\n    [New Leases (Actual)],\n    [Total Units]\n) * (30 / DaysInFilter)</t>
  </si>
  <si>
    <t xml:space="preserve">Sell Rate (Target)</t>
  </si>
  <si>
    <t xml:space="preserve">0.10</t>
  </si>
  <si>
    <t xml:space="preserve">Sell Rate Median (Scatter)</t>
  </si>
  <si>
    <t xml:space="preserve">\nMEDIANX(\n    VALUES(dim_property[PropertyKey]),\n    [Sell Rate]\n)</t>
  </si>
  <si>
    <t xml:space="preserve">SLA Days</t>
  </si>
  <si>
    <t xml:space="preserve">\n-- Use portfolio 75th percentile absorption days as the ceiling\nVAR Pct75 =\n    PERCENTILEX.INC(\n        ALL(dim_property),\n        CALCULATE([Absorption Days (Est)]),\n        0.75\n    )\nRETURN\nIF(ISBLANK(Pct75), 35, Pct75)</t>
  </si>
  <si>
    <t xml:space="preserve">SLA Exposure %</t>
  </si>
  <si>
    <t xml:space="preserve">-- Use portfolio 75th percentile vacancy rate as the threshold\n-- so ~25% of properties are flagged, not an arbitrary number\nVAR Pct75 =\n    PERCENTILEX.INC(\n        ALL(dim_property),\n        CALCULATE([Vacant Ready %]),\n        0.75\n    )\nRETURN\nIF(ISBLANK(Pct75), 0.08, Pct75)</t>
  </si>
  <si>
    <t xml:space="preserve">SLA Property Counts</t>
  </si>
  <si>
    <t xml:space="preserve">VAR Healthy =\n    COUNTX(\n        VALUES(dim_property[PropertyKey]),\n        VAR OpsSLA = CALCULATE([Within SLA])\n        VAR MktSLA = CALCULATE([Marketing Within SLA (Yes/No)])\n        RETURN IF(OpsSLA = "Yes" &amp;&amp; MktSLA = "Yes", 1, BLANK())\n    )\nVAR MktRisk =\n    COUNTX(\n        VALUES(dim_property[PropertyKey]),\n        VAR OpsSLA = CALCULATE([Within SLA])\n        VAR MktSLA = CALCULATE([Marketing Within SLA (Yes/No)])\n        RETURN IF(OpsSLA = "Yes" &amp;&amp; MktSLA = "No", 1, BLANK())\n    )\nVAR OpsRisk =\n    COUNTX(\n        VALUES(dim_property[PropertyKey]),\n        VAR OpsSLA = CALCULATE([Within SLA])\n        VAR MktSLA = CALCULATE([Marketing Within SLA (Yes/No)])\n        RETURN IF(OpsSLA = "No" &amp;&amp; MktSLA = "Yes", 1, BLANK())\n    )\nVAR HighRisk =\n    COUNTX(\n        VALUES(dim_property[PropertyKey]),\n        VAR OpsSLA = CALCULATE([Within SLA])\n        VAR MktSLA = CALCULATE([Marketing Within SLA (Yes/No)])\n        RETURN IF(OpsSLA = "No" &amp;&amp; MktSLA = "No", 1, BLANK())\n    )\nRETURN\n"Healthy: " &amp; Healthy &amp;\n" | Mkt Risk: " &amp; MktRisk &amp;\n" | Ops Risk: " &amp; OpsRisk &amp;\n" | High Risk: " &amp; HighRisk</t>
  </si>
  <si>
    <t xml:space="preserve">SLA Target %</t>
  </si>
  <si>
    <t xml:space="preserve">\n0.90\n</t>
  </si>
  <si>
    <t xml:space="preserve">SLA Units</t>
  </si>
  <si>
    <t xml:space="preserve">\n35</t>
  </si>
  <si>
    <t xml:space="preserve">Supply Risk Properties</t>
  </si>
  <si>
    <t xml:space="preserve">\nSUMX(\n    VALUES('dim_property'[PropertyKey]),\n    [Demand (1/0)]\n)\n</t>
  </si>
  <si>
    <t xml:space="preserve">Tooltip Geo Quadrant Match</t>
  </si>
  <si>
    <t xml:space="preserve">\nVAR SelectedQuadrant =\n    SELECTEDVALUE('Table Geo Matrix Quadrant Selector'[Quadrant])\n\nVAR Result =\n    CALCULATE(\n        DISTINCTCOUNT(dim_property[PropertyKey]),\n        FILTER(\n            VALUES(dim_property[PropertyKey]),\n            [Geo Marketing Quadrant] = SelectedQuadrant\n        )\n    )\n\nRETURN\nCOALESCE(Result, 0)</t>
  </si>
  <si>
    <t xml:space="preserve">Total Breach Properties</t>
  </si>
  <si>
    <t xml:space="preserve">\n[Immediate Action Properties] + [Partial Breach Properties]</t>
  </si>
  <si>
    <t xml:space="preserve">Total Properties in Current Context</t>
  </si>
  <si>
    <t xml:space="preserve">\nDISTINCTCOUNT(dim_property[PropertyKey])</t>
  </si>
  <si>
    <t xml:space="preserve">Underperforming Markets</t>
  </si>
  <si>
    <t xml:space="preserve">\nCALCULATE(\n    DISTINCTCOUNT('dim_property'[MarketKey]),\n    FILTER(\n        VALUES('dim_property'[MarketKey]),\n        [Marketing Quadrant] = "Underperforming"\n    )\n)</t>
  </si>
  <si>
    <t xml:space="preserve">Underperforming Properties</t>
  </si>
  <si>
    <t xml:space="preserve">\nCOUNTROWS(\n    FILTER(\n        VALUES('dim_property'[PropertyKey]),\n        [Marketing Quadrant] = "Underperforming"\n    )\n)</t>
  </si>
  <si>
    <t xml:space="preserve">Vacant Not Ready Units (Est)</t>
  </si>
  <si>
    <t xml:space="preserve">\nMAX( 0, [Vacant Units] - [Vacant Ready Units (Est)] )\n</t>
  </si>
  <si>
    <t xml:space="preserve">Vacant Ready %</t>
  </si>
  <si>
    <t xml:space="preserve">\nDIVIDE(\n    [Vacant Ready Units (Est)],\n    [Total Units]\n)\n</t>
  </si>
  <si>
    <t xml:space="preserve">Vacant Ready Units (Est)</t>
  </si>
  <si>
    <t xml:space="preserve">\n[Vacant Units (Period Start)] * 0.70</t>
  </si>
  <si>
    <t xml:space="preserve">Velocity (1/0)</t>
  </si>
  <si>
    <t xml:space="preserve">\nVAR X    = [Vacant Ready %]\nVAR Y    = [Absorption Days (Est)]\nVAR XCut = CALCULATE(MEDIANX(VALUES(dim_property[PropertyKey]), [Vacant Ready %]), ALL(dim_property))\nVAR YCut = CALCULATE(MEDIANX(VALUES(dim_property[PropertyKey]), [Absorption Days (Est)]), ALL(dim_property))\nRETURN IF(NOT ISBLANK(X) &amp;&amp; NOT ISBLANK(Y) &amp;&amp; X &lt; XCut &amp;&amp; Y &gt;= YCut, 1, 0)</t>
  </si>
  <si>
    <t xml:space="preserve">Velocity Risk Properties</t>
  </si>
  <si>
    <t xml:space="preserve">\nSUMX(\n    VALUES('dim_property'[PropertyKey]),\n    [Velocity (1/0)]\n)\n</t>
  </si>
  <si>
    <t xml:space="preserve">VRU Median</t>
  </si>
  <si>
    <t xml:space="preserve">\nMEDIANX(\n    ALLSELECTED(dim_property[PropertyName]),\n    [Vacant Ready Units (Est)]\n)\n</t>
  </si>
  <si>
    <t xml:space="preserve">Within SLA</t>
  </si>
  <si>
    <t xml:space="preserve">\nVAR ExposurePct = [Vacant Ready %]\nVAR Days        = [Absorption Days (Est)]\nVAR SLAExp      = [SLA Exposure %]\nVAR SLADays     = [SLA Days]\n\nRETURN\nIF(\n    NOT ISBLANK(ExposurePct) &amp;&amp;\n    NOT ISBLANK(Days) &amp;&amp;\n    ExposurePct &lt;= SLAExp &amp;&amp;\n    Days &lt;= SLADays,\n    "Yes",\n    "No"\n)</t>
  </si>
  <si>
    <t xml:space="preserve">Within SLA (1/0)</t>
  </si>
  <si>
    <t xml:space="preserve">\nVAR ExposurePct = [Vacant Ready %]\nVAR Days        = [Absorption Days (Est)]\nVAR SLAExp      = [SLA Exposure %]\nVAR SLADays     = [SLA Days]\n\nRETURN\nIF(\n    NOT ISBLANK(ExposurePct) &amp;&amp;\n    NOT ISBLANK(Days) &amp;&amp;\n    ExposurePct &lt;= SLAExp &amp;&amp;\n    Days &lt;= SLADays,\n    1,\n    0\n)\n\n</t>
  </si>
  <si>
    <t xml:space="preserve">Avg Daily New Leases (30D)</t>
  </si>
  <si>
    <t xml:space="preserve">Time Series</t>
  </si>
  <si>
    <t xml:space="preserve">Supporting measure — see DAX definition for exact behavior.</t>
  </si>
  <si>
    <t xml:space="preserve">01 - Actual\1.3 - Time Series</t>
  </si>
  <si>
    <t xml:space="preserve">\nVAR DaysBack = 30\nVAR Leases30 =\n    CALCULATE(\n        [Move-Ins],   -- or [New Leases (Actual)] if that’s your lease count\n        DATESINPERIOD( 'dim_date'[Date], MAX('dim_date'[Date]), -DaysBack, DAY )\n    )\nRETURN\nDIVIDE( Leases30, DaysBack )\n\n</t>
  </si>
  <si>
    <t xml:space="preserve">Immediate Action Net Change vs 30D</t>
  </si>
  <si>
    <t xml:space="preserve">\nVAR CurrValue =\n    [Immediate Action Properties]\n\nVAR PriorValue =\n    CALCULATE(\n        [Immediate Action Properties],\n        DATEADD('dim_date'[Date], -30, DAY)\n    )\n\nRETURN\n    CurrValue - PriorValue\n</t>
  </si>
  <si>
    <t xml:space="preserve">Lease Expirations (Next 60D)</t>
  </si>
  <si>
    <t xml:space="preserve">\nVAR AsOfDate = MAX('dim_date'[Date])\nRETURN\nCALCULATE(\n    SUMX(\n        VALUES(fact_property_ops_daily[PropertyKey]),\n        CALCULATE(\n            MAX(fact_property_ops_daily[LeaseExpirations_Next60D])\n        )\n    ),\n    'dim_date'[Date] = AsOfDate\n)</t>
  </si>
  <si>
    <t xml:space="preserve">Lease Velocity % (Last 30D)</t>
  </si>
  <si>
    <t xml:space="preserve">\nDIVIDE(\n    [Avg Daily New Leases (30D)],\n    [Total Units]\n)\n</t>
  </si>
  <si>
    <t xml:space="preserve">Lease Velocity (30D)</t>
  </si>
  <si>
    <t xml:space="preserve">\nCALCULATE (\n    [Move-Ins],\n    DATESINPERIOD (\n        dim_date[Date],\n        MAX ( dim_date[Date] ),\n        -30,\n        DAY\n    )\n)\n</t>
  </si>
  <si>
    <t xml:space="preserve">Leases (Last 30 Days)</t>
  </si>
  <si>
    <t xml:space="preserve">\nCALCULATE(\n    [New Leases (Funnel)],\n    DATESINPERIOD( 'dim_date'[Date], MAX('dim_date'[Date]), -30, DAY )\n)</t>
  </si>
  <si>
    <t xml:space="preserve">Move-In Coverage Ratio (60D)</t>
  </si>
  <si>
    <t xml:space="preserve">Coverage / fill-rate measure — how much of the expected pipeline or unit base is covered.</t>
  </si>
  <si>
    <t xml:space="preserve">\nDIVIDE(\n    [Scheduled Move-Ins (Next 60D)],\n    [Lease Expirations (Next 60D)]\n)</t>
  </si>
  <si>
    <t xml:space="preserve">Move-Ins (Last 30D)</t>
  </si>
  <si>
    <t xml:space="preserve">\nCALCULATE(\n    SUM(fact_property_ops_daily[MoveIns]),\n    DATESINPERIOD(dim_date[Date], MAX(dim_date[Date]), -30, DAY)\n)</t>
  </si>
  <si>
    <t xml:space="preserve">New Leases (Last 30D)</t>
  </si>
  <si>
    <t xml:space="preserve">\nVAR DaysBack = 30\nRETURN\nCALCULATE(\n    [New Leases (Actual)],   -- primary operational lease metric\n    DATESINPERIOD(\n        'dim_date'[Date],\n        MAX('dim_date'[Date]),\n        -DaysBack,\n        DAY\n    )\n)\n</t>
  </si>
  <si>
    <t xml:space="preserve">Scheduled Move-Ins (Next 60D)</t>
  </si>
  <si>
    <t xml:space="preserve">\nVAR AsOfDate =\n    MAX ( 'dim_date'[Date] )\nRETURN\nSUMX (\n    VALUES ( dim_property[PropertyKey] ),\n    CALCULATE (\n        MAX ( fact_property_ops_daily[ScheduledMoveIns_Next60D] ),\n        KEEPFILTERS ( 'dim_date'[Date] = AsOfDate )\n    )\n)\n</t>
  </si>
  <si>
    <t xml:space="preserve">Vacancy Fill % (30D)</t>
  </si>
  <si>
    <t xml:space="preserve">\nVAR AvailableToFill = [Vacant Ready Units (Est)]\nVAR ActualFillRate = DIVIDE([Move-Ins], [Move-Ins] + AvailableToFill)\nRETURN\nIF(\n    AvailableToFill &lt; 3, BLANK(),\n    MIN(1, ActualFillRate)\n)</t>
  </si>
  <si>
    <t xml:space="preserve">Vacancy Fill % (30D) - Region Avg</t>
  </si>
  <si>
    <t xml:space="preserve">CALCULATE(\n    AVERAGEX(\n        VALUES(dim_property[PropertyKey]),\n        [Vacancy Fill % (30D)]\n    ),\n    ALLEXCEPT(dim_property, dim_region[RegionKey])\n)</t>
  </si>
  <si>
    <t xml:space="preserve">Vacant Units (As Of)</t>
  </si>
  <si>
    <t xml:space="preserve">\nVAR AsOfDate = MAX(dim_date[Date])\nRETURN\nCALCULATE(\n    SUM(fact_property_ops_daily[VacantUnits]),\n    dim_date[Date] = AsOfDate\n)</t>
  </si>
  <si>
    <t xml:space="preserve">Vacant Units (Period Start)</t>
  </si>
  <si>
    <t xml:space="preserve">\nVAR AsOfDate = MIN(dim_date[Date])\nRETURN\nCALCULATE(\n    SUM(fact_property_ops_daily[VacantUnits]),\n    dim_date[Date] = AsOfDate\n)</t>
  </si>
  <si>
    <t xml:space="preserve">New Leases - 6M Summary</t>
  </si>
  <si>
    <t xml:space="preserve">Prescriptive</t>
  </si>
  <si>
    <t xml:space="preserve">01 - Actual\1.4 - Prescribe Measures</t>
  </si>
  <si>
    <t xml:space="preserve">\nVAR _Today  = MAX(dim_date[Date])\nVAR _6MAgo  = DATE(YEAR(_Today), MONTH(_Today) - 6, 1)\nVAR _6MAgoLY  = DATE(YEAR(_Today) - 1, MONTH(_Today) - 6, 1)\nVAR _TodayLY  = DATE(YEAR(_Today) - 1, MONTH(_Today), DAY(_Today))\n\n-- ── Current 6 months ─────────────────────────────────────────\nVAR _Monthly =\n    ADDCOLUMNS(\n        FILTER(\n            ALL(dim_date[Year], dim_date[MonthNumber], dim_date[MonthName]),\n            DATE(dim_date[Year], dim_date[MonthNumber], 1) &gt;= _6MAgo &amp;&amp;\n            DATE(dim_date[Year], dim_date[MonthNumber], 1) &lt;= _Today\n        ),\n        "@Leases", CALCULATE(\n            [New Leases (Actual)],\n            FILTER(\n                ALL(dim_date),\n                dim_date[Year]        = EARLIER(dim_date[Year]) &amp;&amp;\n                dim_date[MonthNumber] = EARLIER(dim_date[MonthNumber])\n            )\n        )\n    )\nVAR _Valid   = FILTER(_Monthly, NOT ISBLANK([@Leases]))\nVAR _Count   = COUNTROWS(_Valid)\n\n-- Stats\nVAR _Min     = MINX(_Valid, [@Leases])\nVAR _Max     = MAXX(_Valid, [@Leases])\nVAR _Avg     = AVERAGEX(_Valid, [@Leases])\nVAR _Median  = MEDIANX(_Valid, [@Leases])\nVAR _Total   = SUMX(_Valid, [@Leases])\n\n-- Trend: newest vs oldest month in window\nVAR _Sorted  =\n    ADDCOLUMNS(_Valid, "@Sort", dim_date[Year] * 100 + dim_date[MonthNumber])\nVAR _Newest  = MAXX(TOPN(1, _Sorted, [@Sort], DESC), [@Leases])\nVAR _Oldest  = MAXX(TOPN(1, _Sorted, [@Sort], ASC),  [@Leases])\nVAR _TrendPct = DIVIDE(_Newest - _Oldest, _Oldest)\nVAR _TrendArrow =\n    IF(_Newest &gt; _Oldest, UNICHAR(9650) &amp; " Up",\n    IF(_Newest &lt; _Oldest, UNICHAR(9660) &amp; " Down",\n    UNICHAR(8212) &amp; " Flat"))\n\n-- ── Same 6 months last year ───────────────────────────────────\nVAR _MonthlyLY =\n    ADDCOLUMNS(\n        FILTER(\n            ALL(dim_date[Year], dim_date[MonthNumber], dim_date[MonthName]),\n            DATE(dim_date[Year], dim_date[MonthNumber], 1) &gt;= _6MAgoLY &amp;&amp;\n            DATE(dim_date[Year], dim_date[MonthNumber], 1) &lt;= _TodayLY\n   ... [truncated]</t>
  </si>
  <si>
    <t xml:space="preserve">Coverage Ratio (As Of)</t>
  </si>
  <si>
    <t xml:space="preserve">1 - Actual\1.3 - Time Series</t>
  </si>
  <si>
    <t xml:space="preserve">\nDIVIDE ( [Scheduled Move-Ins (As Of)], [Lease Expirations (As Of)] )</t>
  </si>
  <si>
    <t xml:space="preserve">Coverage Ratio (Next 60D)</t>
  </si>
  <si>
    <t xml:space="preserve">DIVIDE ( [Scheduled Move-Ins (Next 60D)], [Lease Expirations (Next 60D)] )</t>
  </si>
  <si>
    <t xml:space="preserve">Coverage Ratio Avg (As Of)</t>
  </si>
  <si>
    <t xml:space="preserve">\nAVERAGEX (\n    VALUES ( dim_property[PropertyKey] ),\n    CALCULATE ( [Coverage Ratio (As Of)] )\n)</t>
  </si>
  <si>
    <t xml:space="preserve">Lease Expirations (As Of)</t>
  </si>
  <si>
    <t xml:space="preserve">\nVAR EndDate = MAX ( dim_date[Date] )\nRETURN\nCALCULATE (\n    SUMX(\n        VALUES(fact_property_ops_daily[PropertyKey]),\n        CALCULATE(MAX(fact_property_ops_daily[LeaseExpirations_Next60D]))\n    ),\n    dim_date[Date] = EndDate\n)</t>
  </si>
  <si>
    <t xml:space="preserve">Net Coverage (As Of)</t>
  </si>
  <si>
    <t xml:space="preserve">\n[Scheduled Move-Ins (As Of)] / [Lease Expirations (As Of)]</t>
  </si>
  <si>
    <t xml:space="preserve">Net Coverage (Next 60D)</t>
  </si>
  <si>
    <t xml:space="preserve">\n[Scheduled Move-Ins (Next 60D)] / [Lease Expirations (Next 60D)]</t>
  </si>
  <si>
    <t xml:space="preserve">Net Coverage Avg (As Of)</t>
  </si>
  <si>
    <t xml:space="preserve">\nAVERAGEX (\n    VALUES ( dim_property[PropertyKey] ),\n    CALCULATE ( [Net Coverage (As Of)] )\n)</t>
  </si>
  <si>
    <t xml:space="preserve">Scheduled Move-Ins (As Of)</t>
  </si>
  <si>
    <t xml:space="preserve">\nVAR EndDate = MAX ( dim_date[Date] )\nRETURN\nCALCULATE (\n    SUM ( fact_property_ops_daily[ScheduledMoveIns_Next60D] ),\n    dim_date[Date] = EndDate\n)</t>
  </si>
  <si>
    <t xml:space="preserve">Funnel-stage conversion rates and cost-per-stage KPIs derived from the marketing funnel fact table.</t>
  </si>
  <si>
    <t xml:space="preserve">Key rates: CTR %, Click-to-Visit %, Visit-to-Lead %, Lead-to-Lease %.</t>
  </si>
  <si>
    <t xml:space="preserve">Includes top-performer KPIs (Top Channel / Top Vendor by each stage) and insight measures.</t>
  </si>
  <si>
    <t xml:space="preserve">Clicks F</t>
  </si>
  <si>
    <t xml:space="preserve">2 - Funnel\2.1 - Base</t>
  </si>
  <si>
    <t xml:space="preserve">\nCALCULATE(\n    SUM(fact_marketing_funnel_daily[MetricValue]),\n    dim_funnel_stage[FunnelStageName] = "Clicks"\n)</t>
  </si>
  <si>
    <t xml:space="preserve">Impressions F</t>
  </si>
  <si>
    <t xml:space="preserve">\nCALCULATE(\n    SUM(fact_marketing_funnel_daily[MetricValue]),\n    dim_funnel_stage[FunnelStageName] = "Impressions"\n)</t>
  </si>
  <si>
    <t xml:space="preserve">Leads F</t>
  </si>
  <si>
    <t xml:space="preserve">\nCALCULATE(\n    SUM(fact_marketing_funnel_daily[MetricValue]),\n    dim_funnel_stage[FunnelStageName] = "Leads"\n)\n</t>
  </si>
  <si>
    <t xml:space="preserve">New Leases F</t>
  </si>
  <si>
    <t xml:space="preserve">\nCALCULATE(\n    SUM(fact_marketing_funnel_daily[MetricValue]),\n    dim_funnel_stage[FunnelStageName] = "New Leases"\n)</t>
  </si>
  <si>
    <t xml:space="preserve">Click-to-Visit %</t>
  </si>
  <si>
    <t xml:space="preserve">Conversion Rate</t>
  </si>
  <si>
    <t xml:space="preserve">Conversion rate from Clicks to property Visits.</t>
  </si>
  <si>
    <t xml:space="preserve">02 - Funnel\2.3 - Conversion Rates</t>
  </si>
  <si>
    <t xml:space="preserve">DIVIDE([Visits (Actual)], [Clicks])</t>
  </si>
  <si>
    <t xml:space="preserve">CTR %</t>
  </si>
  <si>
    <t xml:space="preserve">Click-Through Rate: Clicks ÷ Impressions.</t>
  </si>
  <si>
    <t xml:space="preserve">DIVIDE([Clicks], [Impressions])</t>
  </si>
  <si>
    <t xml:space="preserve">Lead-to-Lease % (Funnel)</t>
  </si>
  <si>
    <t xml:space="preserve">Conversion rate from Leads to New Leases (funnel source).</t>
  </si>
  <si>
    <t xml:space="preserve">DIVIDE([New Leases (Funnel)], [Leads (Funnel)])</t>
  </si>
  <si>
    <t xml:space="preserve">Visit-to-Lead %</t>
  </si>
  <si>
    <t xml:space="preserve">Conversion rate from Visits to Leads.</t>
  </si>
  <si>
    <t xml:space="preserve">DIVIDE([Leads (Funnel)], [Visits (Actual)])</t>
  </si>
  <si>
    <t xml:space="preserve">Bottom Channel – Cost Per Lease</t>
  </si>
  <si>
    <t xml:space="preserve">02 - Funnel\2.2 - KPI</t>
  </si>
  <si>
    <t xml:space="preserve">\nVAR BottomRow =\n    TOPN(1, ALLSELECTED('dim_vendor'[ChannelName]), [Cost per Lease (Vendor)], DESC)\nRETURN\nCONCATENATEX(BottomRow, 'dim_vendor'[ChannelName] &amp; " - " &amp; FORMAT([Cost per Lease (Vendor)], "$#,0"))</t>
  </si>
  <si>
    <t xml:space="preserve">Cost per Click</t>
  </si>
  <si>
    <t xml:space="preserve">Marketing Spend ÷ Clicks (CPC).</t>
  </si>
  <si>
    <t xml:space="preserve">DIVIDE([Marketing Spend (Funnel)], [Clicks])</t>
  </si>
  <si>
    <t xml:space="preserve">Cost per Impression</t>
  </si>
  <si>
    <t xml:space="preserve">Marketing Spend ÷ Impressions (CPM basis).</t>
  </si>
  <si>
    <t xml:space="preserve">\nDIVIDE(\n    [Marketing Spend (Funnel)],\n    [Impressions]\n)\n</t>
  </si>
  <si>
    <t xml:space="preserve">Cost per Lead (Vendor)</t>
  </si>
  <si>
    <t xml:space="preserve">\nDIVIDE(\n    [Marketing Spend],\n    [Leads (Funnel)]\n)</t>
  </si>
  <si>
    <t xml:space="preserve">Cost per Lease (Actual)</t>
  </si>
  <si>
    <t xml:space="preserve">Marketing Spend ÷ New Leases — blended cost per lease (actual).</t>
  </si>
  <si>
    <t xml:space="preserve">\nDIVIDE ( [Marketing Spend], [New Leases (Actual)] )</t>
  </si>
  <si>
    <t xml:space="preserve">Cost per Lease (Vendor)</t>
  </si>
  <si>
    <t xml:space="preserve">\nDIVIDE(\n    [Marketing Spend],\n    CALCULATE(\n        SUM(fact_prospect_journey[AttributedCredit]),\n        fact_prospect_journey[Converted] = TRUE(),\n        USERELATIONSHIP(fact_prospect_journey[VendorKey], dim_vendor[VendorKey])\n    )\n)</t>
  </si>
  <si>
    <t xml:space="preserve">Cost per Visit (Actual)</t>
  </si>
  <si>
    <t xml:space="preserve">Marketing Spend ÷ Visits — blended cost per property visit.</t>
  </si>
  <si>
    <t xml:space="preserve">\nDIVIDE(\n    [Marketing Spend],\n    [Visits (Actual)]\n)</t>
  </si>
  <si>
    <t xml:space="preserve">Cost per Visit (Vendor)</t>
  </si>
  <si>
    <t xml:space="preserve">\nDIVIDE(\n    [Marketing Spend],\n    [Visits (Funnel)]\n)</t>
  </si>
  <si>
    <t xml:space="preserve">CPL Channel Avg</t>
  </si>
  <si>
    <t xml:space="preserve">\nCALCULATE(\n    [Matrix Composite Index],\n    REMOVEFILTERS('dim_vendor'[VendorName])\n)\n</t>
  </si>
  <si>
    <t xml:space="preserve">Funnel Metric</t>
  </si>
  <si>
    <t xml:space="preserve">Dynamic funnel-stage selector — returns the currently selected stage metric.</t>
  </si>
  <si>
    <t xml:space="preserve">\nSUM('fact_marketing_funnel_daily'[MetricValue])</t>
  </si>
  <si>
    <t xml:space="preserve">Lead-to-Lease % (Vendor)</t>
  </si>
  <si>
    <t xml:space="preserve">\nDIVIDE(\n    [New Leases (Funnel)],\n    CALCULATE(\n        SUM(fact_marketing_funnel_daily[MetricValue]),\n        dim_funnel_stage[FunnelStageName] = "Leads"\n    )\n)</t>
  </si>
  <si>
    <t xml:space="preserve">Lease Efficiency Per 1k</t>
  </si>
  <si>
    <t xml:space="preserve">Leases generated per $1,000 of marketing spend.</t>
  </si>
  <si>
    <t xml:space="preserve">\nDIVIDE(\n    [New Leases (Funnel)],\n    [Marketing Spend]\n) * 1000\n\n</t>
  </si>
  <si>
    <t xml:space="preserve">Marketing vs Ops Gap</t>
  </si>
  <si>
    <t xml:space="preserve">Compares marketing-reported leases vs operations-reported leases; exposes tracking gaps.</t>
  </si>
  <si>
    <t xml:space="preserve">\n[Property Vendor Index (Normalized)] - [Operations Index Score]</t>
  </si>
  <si>
    <t xml:space="preserve">Top Channel by L2L</t>
  </si>
  <si>
    <t xml:space="preserve">Returns the top-performing channel/vendor by the referenced metric.</t>
  </si>
  <si>
    <t xml:space="preserve">\nVAR TopRow =\n    TOPN(\n        1,\n        ALLSELECTED('dim_vendor'[ChannelName]),\n        [Lead-to-Lease % (Actual)],\n        DESC\n    )\nRETURN\nCONCATENATEX(\n    TopRow,\n    'dim_vendor'[ChannelName] &amp; " (" &amp; FORMAT([Lead-to-Lease % (Funnel)], "0.0%") &amp; ")",\n    ", "\n)\n</t>
  </si>
  <si>
    <t xml:space="preserve">Top Channel – Cost Per Lease</t>
  </si>
  <si>
    <t xml:space="preserve">\nVAR TopRow =\n    TOPN(1, ALLSELECTED('dim_vendor'[ChannelName]), [Cost per Lease (Vendor)], ASC)\nRETURN\nCONCATENATEX(TopRow, 'dim_vendor'[ChannelName] &amp; " - " &amp; FORMAT([Cost per Lease (Vendor)], "$#,0"))\n\n</t>
  </si>
  <si>
    <t xml:space="preserve">Top Channel – CTR</t>
  </si>
  <si>
    <t xml:space="preserve">\nVAR TopRow =\n    TOPN(1, ALLSELECTED('dim_vendor'[ChannelName]), [CTR %], DESC)\nRETURN\nCONCATENATEX(TopRow, 'dim_vendor'[ChannelName] &amp; " - " &amp; FORMAT([CTR %], "0.0%"))\n</t>
  </si>
  <si>
    <t xml:space="preserve">Top Channel – Lead to Lease %</t>
  </si>
  <si>
    <t xml:space="preserve">\nVAR TopRow =\n    TOPN(1, ALLSELECTED('dim_vendor'[ChannelName]), [Lead-to-Lease % (Vendor)], DESC)\nRETURN\nCONCATENATEX(TopRow, 'dim_vendor'[ChannelName] &amp; " - " &amp; FORMAT([Lead-to-Lease % (Vendor)], "0.0%"))</t>
  </si>
  <si>
    <t xml:space="preserve">Top Vendor by CTR</t>
  </si>
  <si>
    <t xml:space="preserve">\nVAR TopRow =\n    TOPN(\n        1,\n        ALLSELECTED('dim_vendor'[VendorName]),\n        [CTR %],\n        DESC\n    )\nRETURN\n    CONCATENATEX(\n        TopRow,\n        'dim_vendor'[VendorName]\n            &amp; " - "\n            &amp; FORMAT([CTR %], "0.0%")\n    )\n</t>
  </si>
  <si>
    <t xml:space="preserve">Top Vendor – Lead to Lease %</t>
  </si>
  <si>
    <t xml:space="preserve">VAR T =\n    SUMMARIZE(\n        ALLSELECTED('dim_vendor'),\n        'dim_vendor'[VendorName],\n        "L2L", [Lead-to-Lease % (Actual)]\n    )\nVAR Top1 =\n    TOPN(\n        1,\n        FILTER(T, NOT ISBLANK([L2L])),\n        [L2L], DESC,\n        'dim_vendor'[VendorName], ASC\n    )\nVAR Name_ = MAXX(Top1, 'dim_vendor'[VendorName])\nVAR Val_  = MAXX(Top1, [L2L])\nRETURN\nIF(\n    ISBLANK(Val_),\n    BLANK(),\n    Name_ &amp; " - " &amp; FORMAT(Val_, "0.0%")\n)</t>
  </si>
  <si>
    <t xml:space="preserve">Best Channel by CPL</t>
  </si>
  <si>
    <t xml:space="preserve">Insight</t>
  </si>
  <si>
    <t xml:space="preserve">Returns the best-performing channel/vendor by the referenced metric.</t>
  </si>
  <si>
    <t xml:space="preserve">02 - Funnel\2.4 - Insights</t>
  </si>
  <si>
    <t xml:space="preserve">\nVAR TopRow =\n    TOPN(\n        1,\n        ALLSELECTED('dim_vendor'[ChannelName]),\n        [Cost per Lease (Actual)],\n        ASC\n    )\nRETURN\nCONCATENATEX(\n    TopRow,\n    'dim_vendor'[ChannelName] &amp; " ($" &amp; FORMAT([Cost per Lease (Actual)], "0.00") &amp; ")",\n    ", "\n)\n</t>
  </si>
  <si>
    <t xml:space="preserve">Bottom Channel – CTR</t>
  </si>
  <si>
    <t xml:space="preserve">\nVAR BottomRow =\n    TOPN(1, ALLSELECTED('dim_vendor'[ChannelName]), [CTR %], ASC)\nRETURN\nCONCATENATEX(BottomRow, 'dim_vendor'[ChannelName] &amp; " - " &amp; FORMAT([CTR %], "0.0%"))</t>
  </si>
  <si>
    <t xml:space="preserve">Bottom Channel – Lead to Lease %</t>
  </si>
  <si>
    <t xml:space="preserve">\nVAR BottomRow =\n    TOPN(1, ALLSELECTED('dim_vendor'[ChannelName]), [Lead-to-Lease % (Vendor)], ASC)\nRETURN\nCONCATENATEX(BottomRow, 'dim_vendor'[ChannelName] &amp; " - " &amp; FORMAT([Lead-to-Lease % (Vendor)], "0.0%"))</t>
  </si>
  <si>
    <t xml:space="preserve">Bottom Channel – Score</t>
  </si>
  <si>
    <t xml:space="preserve">\nVAR Scores =\n    ADDCOLUMNS(\n        ALLSELECTED('dim_vendor'[ChannelName]),\n        "@Score", CALCULATE([Vendor Performance Index])\n    )\n\nVAR BottomRow =\n    TOPN(\n        1,\n        FILTER(Scores, NOT ISBLANK([@Score]) &amp;&amp; [@Score] &gt; 0),\n        [@Score],\n        ASC\n    )\n\nRETURN\nCONCATENATEX(\n    BottomRow,\n    'dim_vendor'[ChannelName] &amp; " - " &amp; FORMAT([@Score], "0.0")\n)</t>
  </si>
  <si>
    <t xml:space="preserve">Top Vendor – Cost Per Lease</t>
  </si>
  <si>
    <t xml:space="preserve">\nVAR TopRow =\n    TOPN(\n        1,\n        ALLSELECTED('dim_vendor'[VendorName]),\n        [Cost per Lease (Actual)],\n        DESC\n    )\nRETURN\n    CONCATENATEX(\n        TopRow,\n        'dim_vendor'[VendorName]\n            &amp; " - "\n            &amp; FORMAT([Cost per Lease (Actual)], "$#,##0.00")\n    )</t>
  </si>
  <si>
    <t xml:space="preserve">Click Spend</t>
  </si>
  <si>
    <t xml:space="preserve">2 - Funnel\2.2 - KPI</t>
  </si>
  <si>
    <t xml:space="preserve">\n[Marketing Spend]</t>
  </si>
  <si>
    <t xml:space="preserve">Cost per 1K Impressions</t>
  </si>
  <si>
    <t xml:space="preserve">\nDIVIDE(\n    [Marketing Spend],\n    [Impressions]\n) * 1000\n</t>
  </si>
  <si>
    <t xml:space="preserve">Funnel Cost Format</t>
  </si>
  <si>
    <t xml:space="preserve">Conditional color / formatting helper used by visuals (maps score bands to colors).</t>
  </si>
  <si>
    <t xml:space="preserve">\nSWITCH(\n    SELECTEDVALUE('Table Funnel Steps'[Step]),\n    "Impressions", "$#,0.00",\n    "Clicks",      "$#,0.00",\n    "Visits",      "$#,0.00",\n    "Leads",       "$#,0.00",\n    "New Leases",  "$#,0.00",\n    "$#,0.00"\n)\n</t>
  </si>
  <si>
    <t xml:space="preserve">Funnel Health Index (I→L)</t>
  </si>
  <si>
    <t xml:space="preserve">\nVAR Yield_Selected =\n    [Impression-to-Lease %]\nVAR Yield_All =\n    CALCULATE(\n        [Impression-to-Lease %],\n        REMOVEFILTERS('dim_vendor'[VendorName])\n    )\nRETURN\n    DIVIDE(Yield_Selected, Yield_All) * 100\n</t>
  </si>
  <si>
    <t xml:space="preserve">Funnel Health Index (I→L) - Channel</t>
  </si>
  <si>
    <t xml:space="preserve">\nVAR Yield_Selected =\n    [Impression-to-Lease %]\nVAR Yield_All =\n    CALCULATE(\n        [Impression-to-Lease %],\n        REMOVEFILTERS('dim_vendor'[ChannelName])\n    )\nRETURN\n    DIVIDE(Yield_Selected, Yield_All) * 100\n</t>
  </si>
  <si>
    <t xml:space="preserve">Impression-to-Lease %</t>
  </si>
  <si>
    <t xml:space="preserve">\nDIVIDE(\n    [New Leases (Funnel)], \n    [Impressions]\n)\n</t>
  </si>
  <si>
    <t xml:space="preserve">Lead Conversion</t>
  </si>
  <si>
    <t xml:space="preserve">\nDIVIDE([Leads (Actual)], [Clicks])\n</t>
  </si>
  <si>
    <t xml:space="preserve">Lead Spend</t>
  </si>
  <si>
    <t xml:space="preserve">\n[Click Spend] * [Lead Conversion]</t>
  </si>
  <si>
    <t xml:space="preserve">Lease Conversion</t>
  </si>
  <si>
    <t xml:space="preserve">\nDIVIDE([New Leases (Actual)], [Visits (Actual)])\n\n</t>
  </si>
  <si>
    <t xml:space="preserve">Lease Spend</t>
  </si>
  <si>
    <t xml:space="preserve">\n[Visit Spend] * [Lease Conversion]</t>
  </si>
  <si>
    <t xml:space="preserve">Leases per 1K Impressions</t>
  </si>
  <si>
    <t xml:space="preserve">\n[Impression-to-Lease %] * 10000\n</t>
  </si>
  <si>
    <t xml:space="preserve">Visit Conversion</t>
  </si>
  <si>
    <t xml:space="preserve">\nDIVIDE([Visits (Actual)], [Leads (Actual)])</t>
  </si>
  <si>
    <t xml:space="preserve">Visit Spend</t>
  </si>
  <si>
    <t xml:space="preserve">\n[Lead Spend] * [Visit Conversion]</t>
  </si>
  <si>
    <t xml:space="preserve">Visits (Funnel)</t>
  </si>
  <si>
    <t xml:space="preserve">Total property visits recorded in the funnel stage fact table.</t>
  </si>
  <si>
    <t xml:space="preserve">\nCALCULATE(\n    SUM(fact_marketing_funnel_daily[MetricValue]),\n    dim_funnel_stage[FunnelStageName] = "Visits"\n)</t>
  </si>
  <si>
    <t xml:space="preserve">Multi-touch attribution layer — assigns credit to marketing touchpoints using six attribution models.</t>
  </si>
  <si>
    <t xml:space="preserve">Models: First Touch, Last Touch, Linear, Time Decay, U-Shape (40/20/40), W-Shape (30/30/30/10).</t>
  </si>
  <si>
    <t xml:space="preserve">Produces attributed conversion counts, attributed lease values ($), and path-analysis KPIs (avg touches, days to convert).</t>
  </si>
  <si>
    <t xml:space="preserve">Base measures prefixed with "_Base_" are shared building blocks reused by VPI stage scoring.</t>
  </si>
  <si>
    <t xml:space="preserve">_Base_CostPerLead</t>
  </si>
  <si>
    <t xml:space="preserve">VPI shared base measure for CostPerLead — reused across awareness, consideration, evaluation and conversion stage calculations.</t>
  </si>
  <si>
    <t xml:space="preserve">03 - Attributed\3.1 - Base</t>
  </si>
  <si>
    <t xml:space="preserve">VAR DaysInFilter = [_DaysInFilter]\nVAR MaxDate = [_MaxDateInFilter]\nVAR Leads =\n    IF(\n        DaysInFilter &lt; 30,\n        CALCULATE(\n            COUNTROWS(fact_prospect_journey),\n            fact_prospect_journey[FunnelStageKey] = 4,\n            USERELATIONSHIP(fact_prospect_journey[VendorKey], dim_vendor[VendorKey]),\n            DATESINPERIOD(dim_date[Date], MaxDate, -30, DAY)\n        ),\n        CALCULATE(\n            COUNTROWS(fact_prospect_journey),\n            fact_prospect_journey[FunnelStageKey] = 4,\n            USERELATIONSHIP(fact_prospect_journey[VendorKey], dim_vendor[VendorKey])\n        )\n    )\nVAR Spend =\n    IF(\n        DaysInFilter &lt; 30,\n        CALCULATE(\n            SUM(fact_marketing_spend_daily[Spend]),\n            DATESINPERIOD(dim_date[Date], MaxDate, -30, DAY)\n        ),\n        SUM(fact_marketing_spend_daily[Spend])\n    )\nRETURN DIVIDE(Spend, Leads)</t>
  </si>
  <si>
    <t xml:space="preserve">_Base_CostPerLease</t>
  </si>
  <si>
    <t xml:space="preserve">VPI shared base measure for CostPerLease — reused across awareness, consideration, evaluation and conversion stage calculations.</t>
  </si>
  <si>
    <t xml:space="preserve">VAR DaysInFilter = [_DaysInFilter]\nVAR MaxDate = [_MaxDateInFilter]\nVAR Leases =\n    IF(\n        DaysInFilter &lt; 30,\n        CALCULATE(\n            SUM(fact_prospect_journey[AttributedCredit]),\n            fact_prospect_journey[Converted] = TRUE(),\n            USERELATIONSHIP(fact_prospect_journey[VendorKey], dim_vendor[VendorKey]),\n            DATESINPERIOD(dim_date[Date], MaxDate, -30, DAY)\n        ),\n        CALCULATE(\n            SUM(fact_prospect_journey[AttributedCredit]),\n            fact_prospect_journey[Converted] = TRUE(),\n            USERELATIONSHIP(fact_prospect_journey[VendorKey], dim_vendor[VendorKey])\n        )\n    )\nVAR Spend =\n    IF(\n        DaysInFilter &lt; 30,\n        CALCULATE(\n            SUM(fact_marketing_spend_daily[Spend]),\n            DATESINPERIOD(dim_date[Date], MaxDate, -30, DAY)\n        ),\n        SUM(fact_marketing_spend_daily[Spend])\n    )\nRETURN DIVIDE(Spend, Leases)</t>
  </si>
  <si>
    <t xml:space="preserve">_Base_CostPerVisit</t>
  </si>
  <si>
    <t xml:space="preserve">VPI shared base measure for CostPerVisit — reused across awareness, consideration, evaluation and conversion stage calculations.</t>
  </si>
  <si>
    <t xml:space="preserve">VAR DaysInFilter = [_DaysInFilter]\nVAR MaxDate = [_MaxDateInFilter]\nVAR Visits =\n    IF(\n        DaysInFilter &lt; 30,\n        CALCULATE(\n            COUNTROWS(fact_prospect_journey),\n            fact_prospect_journey[FunnelStageKey] = 3,\n            USERELATIONSHIP(fact_prospect_journey[VendorKey], dim_vendor[VendorKey]),\n            DATESINPERIOD(dim_date[Date], MaxDate, -30, DAY)\n        ),\n        CALCULATE(\n            COUNTROWS(fact_prospect_journey),\n            fact_prospect_journey[FunnelStageKey] = 3,\n            USERELATIONSHIP(fact_prospect_journey[VendorKey], dim_vendor[VendorKey])\n        )\n    )\nVAR Spend =\n    IF(\n        DaysInFilter &lt; 30,\n        CALCULATE(\n            SUM(fact_marketing_spend_daily[Spend]),\n            DATESINPERIOD(dim_date[Date], MaxDate, -30, DAY)\n        ),\n        SUM(fact_marketing_spend_daily[Spend])\n    )\nRETURN DIVIDE(Spend, Visits)</t>
  </si>
  <si>
    <t xml:space="preserve">_Base_ImpToLeaseRate</t>
  </si>
  <si>
    <t xml:space="preserve">VPI shared base measure for ImpToLeaseRate — reused across awareness, consideration, evaluation and conversion stage calculations.</t>
  </si>
  <si>
    <t xml:space="preserve">VAR DaysInFilter = [_DaysInFilter]\nVAR MaxDate = [_MaxDateInFilter]\nVAR Leases =\n    IF(\n        DaysInFilter &lt; 30,\n        CALCULATE(\n            SUM(fact_prospect_journey[AttributedCredit]),\n            fact_prospect_journey[Converted] = TRUE(),\n            USERELATIONSHIP(fact_prospect_journey[VendorKey], dim_vendor[VendorKey]),\n            DATESINPERIOD(dim_date[Date], MaxDate, -30, DAY)\n        ),\n        CALCULATE(\n            SUM(fact_prospect_journey[AttributedCredit]),\n            fact_prospect_journey[Converted] = TRUE(),\n            USERELATIONSHIP(fact_prospect_journey[VendorKey], dim_vendor[VendorKey])\n        )\n    )\nVAR Impressions =\n    IF(\n        DaysInFilter &lt; 30,\n        CALCULATE([Impressions], DATESINPERIOD(dim_date[Date], MaxDate, -30, DAY)),\n        [Impressions]\n    )\nRETURN DIVIDE(Leases, Impressions)</t>
  </si>
  <si>
    <t xml:space="preserve">_Base_Leads</t>
  </si>
  <si>
    <t xml:space="preserve">VPI shared base measure for Leads — reused across awareness, consideration, evaluation and conversion stage calculations.</t>
  </si>
  <si>
    <t xml:space="preserve">VAR DaysInFilter = [_DaysInFilter]\nVAR MaxDate = [_MaxDateInFilter]\nRETURN\nIF(\n    DaysInFilter &lt; 30,\n    CALCULATE(\n        COUNTROWS(fact_prospect_journey),\n        fact_prospect_journey[FunnelStageKey] = 4,\n        USERELATIONSHIP(fact_prospect_journey[VendorKey], dim_vendor[VendorKey]),\n        DATESINPERIOD(dim_date[Date], MaxDate, -30, DAY)\n    ),\n    CALCULATE(\n        COUNTROWS(fact_prospect_journey),\n        fact_prospect_journey[FunnelStageKey] = 4,\n        USERELATIONSHIP(fact_prospect_journey[VendorKey], dim_vendor[VendorKey])\n    )\n)</t>
  </si>
  <si>
    <t xml:space="preserve">_Base_LeadToLeaseRate</t>
  </si>
  <si>
    <t xml:space="preserve">VPI shared base measure for LeadToLeaseRate — reused across awareness, consideration, evaluation and conversion stage calculations.</t>
  </si>
  <si>
    <t xml:space="preserve">\nVAR Leases = CALCULATE(\n    SUM(fact_prospect_journey[AttributedCredit]),\n    fact_prospect_journey[Converted] = TRUE(),\n    USERELATIONSHIP(fact_prospect_journey[VendorKey], dim_vendor[VendorKey])\n)\nVAR Leads = CALCULATE(\n    COUNTROWS(fact_prospect_journey),\n    fact_prospect_journey[FunnelStageKey] = 4,\n    USERELATIONSHIP(fact_prospect_journey[VendorKey], dim_vendor[VendorKey])\n)\nRETURN DIVIDE(Leases, Leads)</t>
  </si>
  <si>
    <t xml:space="preserve">_Base_Visits</t>
  </si>
  <si>
    <t xml:space="preserve">VPI shared base measure for Visits — reused across awareness, consideration, evaluation and conversion stage calculations.</t>
  </si>
  <si>
    <t xml:space="preserve">VAR DaysInFilter = [_DaysInFilter]\nVAR MaxDate = [_MaxDateInFilter]\nRETURN\nIF(\n    DaysInFilter &lt; 30,\n    CALCULATE(\n        COUNTROWS(fact_prospect_journey),\n        fact_prospect_journey[FunnelStageKey] = 3,\n        USERELATIONSHIP(fact_prospect_journey[VendorKey], dim_vendor[VendorKey]),\n        DATESINPERIOD(dim_date[Date], MaxDate, -30, DAY)\n    ),\n    CALCULATE(\n        COUNTROWS(fact_prospect_journey),\n        fact_prospect_journey[FunnelStageKey] = 3,\n        USERELATIONSHIP(fact_prospect_journey[VendorKey], dim_vendor[VendorKey])\n    )\n)</t>
  </si>
  <si>
    <t xml:space="preserve">Attributed Leases Median</t>
  </si>
  <si>
    <t xml:space="preserve">MEDIANX(\n    VALUES(dim_region[RegionName]),\n    [New Leases (Last Touch)]\n)</t>
  </si>
  <si>
    <t xml:space="preserve">Attribution (First Touch)</t>
  </si>
  <si>
    <t xml:space="preserve">Attributed conversion count using the First Touch attribution model; assigns credit to touchpoints per that model.</t>
  </si>
  <si>
    <t xml:space="preserve">CALCULATE(\n    SUMX(\n        FILTER(\n            fact_prospect_journey,\n            fact_prospect_journey[Converted] = TRUE()\n            &amp;&amp; fact_prospect_journey[TouchNumber] = 1\n        ),\n        1\n    )\n)</t>
  </si>
  <si>
    <t xml:space="preserve">Attribution (Last Touch)</t>
  </si>
  <si>
    <t xml:space="preserve">Attributed conversion count using the Last Touch attribution model; assigns credit to touchpoints per that model.</t>
  </si>
  <si>
    <t xml:space="preserve">\nCALCULATE(\n    COUNTROWS(\n        FILTER(\n            fact_prospect_journey,\n            fact_prospect_journey[Converted] = TRUE()\n                &amp;&amp; fact_prospect_journey[TouchNumber] = fact_prospect_journey[TotalTouches]\n        )\n    )\n)</t>
  </si>
  <si>
    <t xml:space="preserve">Attribution (Linear)</t>
  </si>
  <si>
    <t xml:space="preserve">Attributed conversion count using the Linear attribution model; assigns credit to touchpoints per that model.</t>
  </si>
  <si>
    <t xml:space="preserve">CALCULATE(\n    SUMX(\n        FILTER(\n            fact_prospect_journey,\n            fact_prospect_journey[Converted] = TRUE()\n        ),\n        DIVIDE(1, fact_prospect_journey[TotalTouches], 0)\n    )\n)</t>
  </si>
  <si>
    <t xml:space="preserve">Attribution (Selected Model)</t>
  </si>
  <si>
    <t xml:space="preserve">Attributed conversion count using the Selected Model attribution model; assigns credit to touchpoints per that model.</t>
  </si>
  <si>
    <t xml:space="preserve">SWITCH(\n    [Selected Attribution Model],\n    "First Touch",  [Attribution (First Touch)],\n    "Last Touch",   [Attribution (Last Touch)],\n    "Linear",       [Attribution (Linear)],\n    "Time Decay",   [Attribution (Time Decay)],\n    "U-Shape",      [Attribution (U-Shape)],\n    "W-Shape",      [Attribution (W-Shape)],\n    [Attribution (Linear)]\n)</t>
  </si>
  <si>
    <t xml:space="preserve">Attribution (Time Decay)</t>
  </si>
  <si>
    <t xml:space="preserve">Attributed conversion count using the Time Decay attribution model; assigns credit to touchpoints per that model.</t>
  </si>
  <si>
    <t xml:space="preserve">CALCULATE(\n    SUM(fact_prospect_journey[AttributedCredit]),\n    fact_prospect_journey[Converted] = TRUE()\n)</t>
  </si>
  <si>
    <t xml:space="preserve">Attribution (U-Shape)</t>
  </si>
  <si>
    <t xml:space="preserve">Attributed conversion count using the U-Shape attribution model; assigns credit to touchpoints per that model.</t>
  </si>
  <si>
    <t xml:space="preserve">CALCULATE(\n    SUMX(\n        FILTER(\n            fact_prospect_journey,\n            fact_prospect_journey[Converted] = TRUE()\n        ),\n        VAR Touch = fact_prospect_journey[TouchNumber]\n        VAR Total = fact_prospect_journey[TotalTouches]\n        RETURN\n            SWITCH(\n                TRUE(),\n                Total = 1, 1.0,\n                Total = 2, 0.5,\n                Touch = 1, 0.4,\n                Touch = Total, 0.4,\n                DIVIDE(0.2, Total - 2, 0)\n            )\n    )\n)</t>
  </si>
  <si>
    <t xml:space="preserve">Attribution (W-Shape)</t>
  </si>
  <si>
    <t xml:space="preserve">Attributed conversion count using the W-Shape attribution model; assigns credit to touchpoints per that model.</t>
  </si>
  <si>
    <t xml:space="preserve">CALCULATE(\n    SUMX(\n        FILTER(\n            fact_prospect_journey,\n            fact_prospect_journey[Converted] = TRUE()\n        ),\n        VAR Touch    = fact_prospect_journey[TouchNumber]\n        VAR Total    = fact_prospect_journey[TotalTouches]\n        VAR MidTouch = ROUND(DIVIDE(Total, 2), 0)\n        RETURN\n            SWITCH(\n                TRUE(),\n                Total &lt;= 2,      DIVIDE(1, Total, 0),\n                Touch = 1,       0.30,\n                Touch = Total,   0.30,\n                Touch = MidTouch, 0.30,\n                DIVIDE(0.10, MAX(Total - 3, 1), 0)\n            )\n    )\n)</t>
  </si>
  <si>
    <t xml:space="preserve">Bottom Vendor - Attributed Leases</t>
  </si>
  <si>
    <t xml:space="preserve">VAR Summary =\n    ADDCOLUMNS(\n        ALLSELECTED(dim_vendor[VendorName]),\n        "__Val",\n        CALCULATE(\n            DISTINCTCOUNT(fact_prospect_journey[ProspectKey]),\n            fact_prospect_journey[Converted] = TRUE(),\n            USERELATIONSHIP(fact_prospect_journey[VendorKey], dim_vendor[VendorKey])\n        )\n    )\nVAR FilteredSummary = FILTER(Summary, NOT ISBLANK([__Val]) &amp;&amp; [__Val] &gt; 0)\nVAR BottomRow = TOPN(1, FilteredSummary, [__Val], ASC)\nVAR BottomName = MAXX(BottomRow, [VendorName])\nVAR BottomVal  = MAXX(BottomRow, [__Val])\nRETURN\nIF(\n    ISBLANK(BottomName), BLANK(),\n    UNICHAR(9888) &amp; " " &amp; BottomName &amp; " - " &amp; FORMAT(BottomVal, "#,0")\n)</t>
  </si>
  <si>
    <t xml:space="preserve">CF Region Attributed Leases</t>
  </si>
  <si>
    <t xml:space="preserve">\nVAR CurrentValue = [New Leases (Last Touch)]\n\nVAR MedianValue =\n    SWITCH(\n        TRUE(),\n        ISINSCOPE(dim_property[PropertyName]),\n            MEDIANX(\n                ALL(dim_property[PropertyName]),\n                [New Leases (Last Touch)]\n            ),\n        ISINSCOPE(dim_market[MarketName]),\n            MEDIANX(\n                ALL(dim_market[MarketName]),\n                [New Leases (Last Touch)]\n            ),\n        ISINSCOPE(dim_region[RegionName]),\n            MEDIANX(\n                ALL(dim_region[RegionName]),\n                [New Leases (Last Touch)]\n            ),\n        MEDIANX(\n            ALL(dim_region[RegionName]),\n            [New Leases (Last Touch)]\n        )\n    )\n\nVAR P90_Value =\n    SWITCH(\n        TRUE(),\n        ISINSCOPE(dim_property[PropertyName]),\n            PERCENTILEX.INC(\n                ALL(dim_property[PropertyName]),\n                [New Leases (Last Touch)],\n                0.90\n            ),\n        ISINSCOPE(dim_market[MarketName]),\n            PERCENTILEX.INC(\n                ALL(dim_market[MarketName]),\n                [New Leases (Last Touch)],\n                0.90\n            ),\n        ISINSCOPE(dim_region[RegionName]),\n            PERCENTILEX.INC(\n                ALL(dim_region[RegionName]),\n                [New Leases (Last Touch)],\n                0.90\n            ),\n        PERCENTILEX.INC(\n            ALL(dim_region[RegionName]),\n            [New Leases (Last Touch)],\n            0.90\n        )\n    )\n\nVAR P75_Value =\n    SWITCH(\n        TRUE(),\n        ISINSCOPE(dim_property[PropertyName]),\n            PERCENTILEX.INC(\n                ALL(dim_property[PropertyName]),\n                [New Leases (Last Touch)],\n                0.75\n            ),\n        ISINSCOPE(dim_market[MarketName]),\n            PERCENTILEX.INC(\n                ALL(dim_market[MarketName]),\n                [New Leases (Last Touch)],\n                0.75\n            ... [truncated]</t>
  </si>
  <si>
    <t xml:space="preserve">Conversion Share %</t>
  </si>
  <si>
    <t xml:space="preserve">Share of total attributed conversions held by the current channel/vendor.</t>
  </si>
  <si>
    <t xml:space="preserve">VAR ChannelTotal = [Attribution (Selected Model)]\nVAR GrandTotal =\n    CALCULATE(\n        [Attribution (Selected Model)],\n        ALL(dim_channel),\n        ALL(dim_vendor)\n    )\nRETURN\nDIVIDE(ChannelTotal, GrandTotal)</t>
  </si>
  <si>
    <t xml:space="preserve">Market - Lowest Efficiency Gap</t>
  </si>
  <si>
    <t xml:space="preserve">VAR Summary =\n    ADDCOLUMNS(\n        VALUES(dim_market[MarketName]),\n        "__Val",\n        CALCULATE(\n            DIVIDE(\n                CALCULATE(\n                    DISTINCTCOUNT(fact_prospect_journey[ProspectKey]),\n                    fact_prospect_journey[Converted] = TRUE(),\n                    USERELATIONSHIP(fact_prospect_journey[VendorKey], dim_vendor[VendorKey])\n                ),\n                SUM(fact_leasing_daily[NewLeases])\n            )\n        )\n    )\nVAR FilteredSummary = FILTER(Summary, NOT ISBLANK([__Val]) &amp;&amp; [__Val] &gt; 0)\nVAR BottomRow = TOPN(1, FilteredSummary, [__Val], ASC)\nVAR BottomName = MAXX(BottomRow, [MarketName])\nVAR BottomVal  = MAXX(BottomRow, [__Val])\nRETURN\nIF(\n    ISBLANK(BottomName), BLANK(),\n    UNICHAR(9888) &amp; " " &amp; BottomName &amp; " - " &amp; FORMAT(BottomVal, "0.0%")\n)</t>
  </si>
  <si>
    <t xml:space="preserve">Multi-Touch %</t>
  </si>
  <si>
    <t xml:space="preserve">Percentage of conversions where the prospect had more than one touchpoint.</t>
  </si>
  <si>
    <t xml:space="preserve">VAR TotalConverted =\n    CALCULATE(\n        DISTINCTCOUNT(fact_prospect_journey[ProspectKey]),\n        fact_prospect_journey[Converted] = TRUE(),\n        fact_prospect_journey[TouchNumber] = 1\n    )\nVAR MultiTouchConverted =\n    CALCULATE(\n        DISTINCTCOUNT(fact_prospect_journey[ProspectKey]),\n        fact_prospect_journey[Converted] = TRUE(),\n        fact_prospect_journey[TotalTouches] &gt; 1,\n        fact_prospect_journey[TouchNumber] = 1\n    )\nRETURN\nDIVIDE(MultiTouchConverted, TotalConverted)</t>
  </si>
  <si>
    <t xml:space="preserve">New Leases (Attributed) Operational</t>
  </si>
  <si>
    <t xml:space="preserve">SUM(fact_leasing_daily[AttributedNewLeases])</t>
  </si>
  <si>
    <t xml:space="preserve">Total Conversions (Attributed)</t>
  </si>
  <si>
    <t xml:space="preserve">Sum of converted prospects across the prospect journey fact — total attributed conversions.</t>
  </si>
  <si>
    <t xml:space="preserve">CALCULATE(\n    DISTINCTCOUNT(fact_prospect_journey[ProspectKey]),\n    fact_prospect_journey[Converted] = TRUE(),\n    fact_prospect_journey[TouchNumber] = 1\n)</t>
  </si>
  <si>
    <t xml:space="preserve">Unattributed Leases</t>
  </si>
  <si>
    <t xml:space="preserve">SUM(fact_leasing_daily[UnattributedLeases])</t>
  </si>
  <si>
    <t xml:space="preserve">Selected Attribution Model</t>
  </si>
  <si>
    <t xml:space="preserve">3 - Attributed\3.1 - Base</t>
  </si>
  <si>
    <t xml:space="preserve">\nSELECTEDVALUE('Table Attribution Model'[ModelName], "Linear")</t>
  </si>
  <si>
    <t xml:space="preserve">Acquisition Value (Attributed)</t>
  </si>
  <si>
    <t xml:space="preserve">03 - Attributed\3.2 - KPI</t>
  </si>
  <si>
    <t xml:space="preserve">\nCALCULATE(\n    SUMX(\n        fact_prospect_journey,\n        fact_prospect_journey[AttributedValue]\n    ),\n    fact_prospect_journey[Converted] = TRUE(),\n    USERELATIONSHIP(fact_prospect_journey[VendorKey], dim_vendor[VendorKey])\n)</t>
  </si>
  <si>
    <t xml:space="preserve">Attribution - Cost per Attributed Dollar</t>
  </si>
  <si>
    <t xml:space="preserve">DIVIDE(\n    [Marketing Spend],\n    [Lease Value (Selected Model)]\n)</t>
  </si>
  <si>
    <t xml:space="preserve">Attribution Coverage %</t>
  </si>
  <si>
    <t xml:space="preserve">\nFORMAT(\n    DIVIDE([New Leases (Last Touch)], [New Leases (Funnel)]),\n    "0.0%"\n)</t>
  </si>
  <si>
    <t xml:space="preserve">Attribution Coverage % (Operational)</t>
  </si>
  <si>
    <t xml:space="preserve">DIVIDE(\n    SUM(fact_leasing_daily[AttributedNewLeases]),\n    SUM(fact_leasing_daily[NewLeases])\n)</t>
  </si>
  <si>
    <t xml:space="preserve">Avg Cost per Lead (Attributed)</t>
  </si>
  <si>
    <t xml:space="preserve">\nAVERAGEX(\n    VALUES('dim_date'[Date]),\n    [Cost per Lead (Selected Period)]\n)</t>
  </si>
  <si>
    <t xml:space="preserve">Avg Days to Convert</t>
  </si>
  <si>
    <t xml:space="preserve">Average days from first touch to lease across converted prospects.</t>
  </si>
  <si>
    <t xml:space="preserve">CALCULATE(\n    AVERAGE(fact_prospect_journey[DaysBeforeLease]),\n    fact_prospect_journey[Converted] = TRUE(),\n    fact_prospect_journey[TouchNumber] = 1\n)</t>
  </si>
  <si>
    <t xml:space="preserve">Avg Touch Path Length</t>
  </si>
  <si>
    <t xml:space="preserve">Average number of touchpoints per converted prospect journey.</t>
  </si>
  <si>
    <t xml:space="preserve">CALCULATE(\n    AVERAGE(fact_prospect_journey[TotalTouches]),\n    fact_prospect_journey[Converted] = TRUE(),\n    fact_prospect_journey[TouchNumber] = 1\n)</t>
  </si>
  <si>
    <t xml:space="preserve">Bottom Vendor - Attributed Acquisition Value</t>
  </si>
  <si>
    <t xml:space="preserve">VAR Summary =\n    ADDCOLUMNS(\n        ALLSELECTED(dim_vendor[VendorName]),\n        "__Val",\n        CALCULATE(\n            SUMX(fact_prospect_journey, fact_prospect_journey[AttributedValue]),\n            fact_prospect_journey[Converted] = TRUE(),\n            USERELATIONSHIP(fact_prospect_journey[VendorKey], dim_vendor[VendorKey])\n        )\n    )\nVAR FilteredSummary = FILTER(Summary, NOT ISBLANK([__Val]) &amp;&amp; [__Val] &gt; 0)\nVAR BottomRow = TOPN(1, FilteredSummary, [__Val], ASC)\nVAR BottomName = MAXX(BottomRow, [VendorName])\nVAR BottomVal  = MAXX(BottomRow, [__Val])\nRETURN\nIF(\n    ISBLANK(BottomName), BLANK(),\n    UNICHAR(9888) &amp; " " &amp; BottomName &amp; " - " &amp;\n    IF(BottomVal &gt;= 1000000,\n        "$" &amp; FORMAT(BottomVal / 1000000, "0.0") &amp; "M",\n        "$" &amp; FORMAT(BottomVal / 1000, "0.0") &amp; "K"\n    )\n)</t>
  </si>
  <si>
    <t xml:space="preserve">Bottom Vendor - Attributed CPL</t>
  </si>
  <si>
    <t xml:space="preserve">VAR Summary =\n    ADDCOLUMNS(\n        ALLSELECTED(dim_vendor[VendorName]),\n        "__Val",\n        CALCULATE(\n            DIVIDE(\n                [Marketing Spend],\n                CALCULATE(\n                    SUMX(\n                        VALUES(fact_prospect_journey[ProspectKey]),\n                        CALCULATE(\n                            DIVIDE(1, MAX(fact_prospect_journey[TotalTouches]), 0)\n                        )\n                    ),\n                    fact_prospect_journey[Converted] = TRUE(),\n                    USERELATIONSHIP(fact_prospect_journey[VendorKey], dim_vendor[VendorKey])\n                )\n            )\n        )\n    )\nVAR FilteredSummary = FILTER(Summary, NOT ISBLANK([__Val]) &amp;&amp; [__Val] &gt; 0)\nVAR BottomRow = TOPN(1, FilteredSummary, [__Val], DESC)\nVAR BottomName = MAXX(BottomRow, [VendorName])\nVAR BottomVal  = MAXX(BottomRow, [__Val])\nRETURN\nIF(\n    ISBLANK(BottomName), BLANK(),\n    UNICHAR(9888) &amp; " " &amp; BottomName &amp; " - $" &amp; FORMAT(BottomVal, "#,0")\n)</t>
  </si>
  <si>
    <t xml:space="preserve">Bottom Vendor - Cost per Attributed Dollar</t>
  </si>
  <si>
    <t xml:space="preserve">VAR Summary =\n    ADDCOLUMNS(\n        ALLSELECTED(dim_vendor[VendorName]),\n        "__Val",\n        CALCULATE(\n            DIVIDE(\n                [Marketing Spend],\n                CALCULATE(\n                    SUMX(fact_prospect_journey, fact_prospect_journey[AttributedValue]),\n                    fact_prospect_journey[Converted] = TRUE(),\n                    USERELATIONSHIP(fact_prospect_journey[VendorKey], dim_vendor[VendorKey])\n                )\n            )\n        )\n    )\nVAR FilteredSummary = FILTER(Summary, NOT ISBLANK([__Val]) &amp;&amp; [__Val] &gt; 0)\nVAR BottomRow = TOPN(1, FilteredSummary, [__Val], DESC)\nVAR BottomName = MAXX(BottomRow, [VendorName])\nVAR BottomVal  = MAXX(BottomRow, [__Val])\nRETURN\nIF(\n    ISBLANK(BottomName), BLANK(),\n    UNICHAR(9888) &amp; " " &amp; BottomName &amp; " - $" &amp; FORMAT(BottomVal, "0.00")\n)</t>
  </si>
  <si>
    <t xml:space="preserve">Channel Overlap Count</t>
  </si>
  <si>
    <t xml:space="preserve">VAR Chan1 = SELECTEDVALUE(dim_channel[ChannelName])\nVAR ProspectsInChan1 =\n    CALCULATETABLE(\n        VALUES(fact_prospect_journey[ProspectKey]),\n        fact_prospect_journey[Converted] = TRUE(),\n        dim_channel[ChannelName] = Chan1\n    )\nRETURN\nCALCULATE(\n    DISTINCTCOUNT(fact_prospect_journey[ProspectKey]),\n    fact_prospect_journey[Converted] = TRUE(),\n    TREATAS(ProspectsInChan1, fact_prospect_journey[ProspectKey])\n)</t>
  </si>
  <si>
    <t xml:space="preserve">Cost per Attributed Dollar</t>
  </si>
  <si>
    <t xml:space="preserve">\nDIVIDE(\n    [Marketing Spend],\n    CALCULATE(\n        SUMX(\n            fact_prospect_journey,\n            fact_prospect_journey[AttributedValue]\n        ),\n        fact_prospect_journey[Converted] = TRUE(),\n        USERELATIONSHIP(fact_prospect_journey[VendorKey], dim_vendor[VendorKey])\n    )\n)</t>
  </si>
  <si>
    <t xml:space="preserve">Cost per Conversion (Attributed)</t>
  </si>
  <si>
    <t xml:space="preserve">Marketing Spend ÷ Attributed Conversions (selected model).</t>
  </si>
  <si>
    <t xml:space="preserve">DIVIDE(\n    [Marketing Spend],\n    [Attribution (Selected Model)]\n)</t>
  </si>
  <si>
    <t xml:space="preserve">Cost per Lead (Attributed)</t>
  </si>
  <si>
    <t xml:space="preserve">\nDIVIDE(\n    [Marketing Spend],\n    [New Leases (Last Touch)]\n)</t>
  </si>
  <si>
    <t xml:space="preserve">Lease Value (Attributed)</t>
  </si>
  <si>
    <t xml:space="preserve">Attributed lease value ($) using the Attributed attribution model.</t>
  </si>
  <si>
    <t xml:space="preserve">CALCULATE(\n    SUM(fact_prospect_journey[LeaseValue]),\n    fact_prospect_journey[Converted] = TRUE(),\n    fact_prospect_journey[TouchNumber] = 1\n)</t>
  </si>
  <si>
    <t xml:space="preserve">Lease Value (First Touch)</t>
  </si>
  <si>
    <t xml:space="preserve">Attributed lease value ($) using the First Touch attribution model.</t>
  </si>
  <si>
    <t xml:space="preserve">CALCULATE(\n    SUMX(\n        FILTER(\n            fact_prospect_journey,\n            fact_prospect_journey[Converted] = TRUE()\n            &amp;&amp; fact_prospect_journey[TouchNumber] = 1\n        ),\n        fact_prospect_journey[LeaseValue]\n    )\n)</t>
  </si>
  <si>
    <t xml:space="preserve">Lease Value (Last Touch)</t>
  </si>
  <si>
    <t xml:space="preserve">Attributed lease value ($) using the Last Touch attribution model.</t>
  </si>
  <si>
    <t xml:space="preserve">CALCULATE(\n    SUMX(\n        FILTER(\n            fact_prospect_journey,\n            fact_prospect_journey[Converted] = TRUE()\n            &amp;&amp; fact_prospect_journey[TouchNumber] = fact_prospect_journey[TotalTouches]\n        ),\n        fact_prospect_journey[LeaseValue]\n    )\n)</t>
  </si>
  <si>
    <t xml:space="preserve">Lease Value (Linear)</t>
  </si>
  <si>
    <t xml:space="preserve">Attributed lease value ($) using the Linear attribution model.</t>
  </si>
  <si>
    <t xml:space="preserve">CALCULATE(\n    SUMX(\n        FILTER(\n            fact_prospect_journey,\n            fact_prospect_journey[Converted] = TRUE()\n        ),\n        fact_prospect_journey[LeaseValue] * DIVIDE(1, fact_prospect_journey[TotalTouches], 0)\n    )\n)</t>
  </si>
  <si>
    <t xml:space="preserve">Lease Value (Selected Model)</t>
  </si>
  <si>
    <t xml:space="preserve">Attributed lease value ($) using the Selected Model attribution model.</t>
  </si>
  <si>
    <t xml:space="preserve">SWITCH(\n    [Selected Attribution Model],\n    "First Touch",  [Lease Value (First Touch)],\n    "Last Touch",   [Lease Value (Last Touch)],\n    "Linear",       [Lease Value (Linear)],\n    "Time Decay",   [Lease Value (Time Decay)],\n    "U-Shape",      [Lease Value (U-Shape)],\n    "W-Shape",      [Lease Value (W-Shape)],\n    [Lease Value (Linear)]\n)</t>
  </si>
  <si>
    <t xml:space="preserve">Lease Value (Time Decay)</t>
  </si>
  <si>
    <t xml:space="preserve">Attributed lease value ($) using the Time Decay attribution model.</t>
  </si>
  <si>
    <t xml:space="preserve">CALCULATE(\n    SUM(fact_prospect_journey[AttributedValue]),\n    fact_prospect_journey[Converted] = TRUE()\n)</t>
  </si>
  <si>
    <t xml:space="preserve">Lease Value (U-Shape)</t>
  </si>
  <si>
    <t xml:space="preserve">Attributed lease value ($) using the U-Shape attribution model.</t>
  </si>
  <si>
    <t xml:space="preserve">\nSUMX(\n    CALCULATETABLE(\n        fact_prospect_journey,\n        fact_prospect_journey[Converted] = TRUE()\n    ),\n    VAR T = fact_prospect_journey[TouchNumber]\n    VAR N = fact_prospect_journey[TotalTouches]\n    VAR W =\n        IF(N = 1, 1.0,\n        IF(N = 2, 0.5,\n        IF(T = 1, 0.4,\n        IF(T = N, 0.4,\n        DIVIDE(0.2, N - 2, 0)))))\n    RETURN fact_prospect_journey[LeaseValue] * W\n)</t>
  </si>
  <si>
    <t xml:space="preserve">Lease Value (W-Shape)</t>
  </si>
  <si>
    <t xml:space="preserve">Attributed lease value ($) using the W-Shape attribution model.</t>
  </si>
  <si>
    <t xml:space="preserve">\nSUMX(\n    CALCULATETABLE(\n        fact_prospect_journey,\n        fact_prospect_journey[Converted] = TRUE()\n    ),\n    VAR T = fact_prospect_journey[TouchNumber]\n    VAR N = fact_prospect_journey[TotalTouches]\n    VAR M = ROUND(DIVIDE(N, 2), 0)\n    VAR W =\n        IF(N &lt;= 2, DIVIDE(1, N, 0),\n        IF(T = 1, 0.30,\n        IF(T = N, 0.30,\n        IF(T = M, 0.30,\n        DIVIDE(0.10, MAX(N - 3, 1), 0)))))\n    RETURN fact_prospect_journey[LeaseValue] * W\n)</t>
  </si>
  <si>
    <t xml:space="preserve">Market - Highest Lifetime Value</t>
  </si>
  <si>
    <t xml:space="preserve">VAR Summary =\n    ADDCOLUMNS(\n        VALUES(dim_market[MarketName]),\n        "__Val",\n        CALCULATE(\n            SUMX(fact_prospect_journey, fact_prospect_journey[AttributedValue]),\n            fact_prospect_journey[Converted] = TRUE(),\n            USERELATIONSHIP(fact_prospect_journey[VendorKey], dim_vendor[VendorKey])\n        )\n    )\nVAR TopRow = TOPN(1, FILTER(Summary, NOT ISBLANK([__Val])), [__Val], DESC)\nVAR TopName = MAXX(TopRow, [MarketName])\nVAR TopVal  = MAXX(TopRow, [__Val])\nRETURN\nIF(\n    ISBLANK(TopName), BLANK(),\n    UNICHAR(128293) &amp; " " &amp; TopName &amp; " - " &amp;\n    IF(TopVal &gt;= 1000000,\n        "$" &amp; FORMAT(TopVal / 1000000, "0.0") &amp; "M",\n        "$" &amp; FORMAT(TopVal / 1000, "0.0") &amp; "K"\n    )\n)</t>
  </si>
  <si>
    <t xml:space="preserve">Market - Lowest Attributed CPL</t>
  </si>
  <si>
    <t xml:space="preserve">VAR Summary =\n    ADDCOLUMNS(\n        VALUES(dim_market[MarketName]),\n        "__Val",\n        CALCULATE(\n            DIVIDE(\n                [Marketing Spend],\n                CALCULATE(\n                    SUMX(\n                        VALUES(fact_prospect_journey[ProspectKey]),\n                        CALCULATE(\n                            DIVIDE(1, MAX(fact_prospect_journey[TotalTouches]), 0)\n                        )\n                    ),\n                    fact_prospect_journey[Converted] = TRUE(),\n                    USERELATIONSHIP(fact_prospect_journey[VendorKey], dim_vendor[VendorKey])\n                )\n            )\n        )\n    )\nVAR FilteredSummary = FILTER(Summary, NOT ISBLANK([__Val]) &amp;&amp; [__Val] &gt; 0)\nVAR TopRow = TOPN(1, FilteredSummary, [__Val], ASC)\nVAR TopName = MAXX(TopRow, [MarketName])\nVAR TopVal  = MAXX(TopRow, [__Val])\nRETURN\nIF(\n    ISBLANK(TopName), BLANK(),\n    UNICHAR(128293) &amp; " " &amp; TopName &amp; " - $" &amp; FORMAT(TopVal, "#,0")\n)</t>
  </si>
  <si>
    <t xml:space="preserve">Net Revenue % (Attributed)</t>
  </si>
  <si>
    <t xml:space="preserve">\nVAR Val = DIVIDE([Net Revenue (Attributed)],[Acquisition Value (Attributed)])\nRETURN\nIF(\n    ISBLANK(Val), BLANK(),\n    FORMAT(Val, "0.0%")\n)</t>
  </si>
  <si>
    <t xml:space="preserve">Net Revenue (Attributed)</t>
  </si>
  <si>
    <t xml:space="preserve">\nVAR OpExRatio = 0.40\nVAR AttributedValue = [Acquisition Value (Attributed)]\nVAR Spend = [Marketing Spend]\nVAR OpEx = AttributedValue * OpExRatio\nRETURN\nAttributedValue - Spend - OpEx</t>
  </si>
  <si>
    <t xml:space="preserve">Top Channel (Attribution)</t>
  </si>
  <si>
    <t xml:space="preserve">Returns the top-ranked channel or vendor by attributed conversions.</t>
  </si>
  <si>
    <t xml:space="preserve">VAR Summary =\n    ADDCOLUMNS(\n        VALUES(dim_channel[ChannelName]),\n        "Credit", [Attribution (Selected Model)]\n    )\nVAR TopRow = TOPN(1, Summary, [Credit], DESC)\nRETURN\n    MAXX(TopRow, dim_channel[ChannelName])</t>
  </si>
  <si>
    <t xml:space="preserve">Top Vendor (Attribution)</t>
  </si>
  <si>
    <t xml:space="preserve">VAR Summary =\n    ADDCOLUMNS(\n        VALUES(dim_vendor[VendorName]),\n        "Credit", [Attribution (Selected Model)]\n    )\nVAR TopRow = TOPN(1, Summary, [Credit], DESC)\nRETURN\n    MAXX(TopRow, dim_vendor[VendorName])</t>
  </si>
  <si>
    <t xml:space="preserve">Top Vendor - Attributed Acquisition Value</t>
  </si>
  <si>
    <t xml:space="preserve">VAR Summary =\n    ADDCOLUMNS(\n        ALLSELECTED(dim_vendor[VendorName]),\n        "__Val",\n        CALCULATE(\n            SUMX(fact_prospect_journey, fact_prospect_journey[AttributedValue]),\n            fact_prospect_journey[Converted] = TRUE(),\n            USERELATIONSHIP(fact_prospect_journey[VendorKey], dim_vendor[VendorKey])\n        )\n    )\nVAR TopRow = TOPN(1, Summary, [__Val], DESC)\nVAR TopName = MAXX(TopRow, [VendorName])\nVAR TopVal  = MAXX(TopRow, [__Val])\nRETURN\nIF(\n    ISBLANK(TopName), BLANK(),\n    UNICHAR(128293) &amp; " " &amp; TopName &amp; " - " &amp;\n    IF(TopVal &gt;= 1000000,\n        "$" &amp; FORMAT(TopVal / 1000000, "0.0") &amp; "M",\n        "$" &amp; FORMAT(TopVal / 1000, "0.0") &amp; "K"\n    )\n)</t>
  </si>
  <si>
    <t xml:space="preserve">Top Vendor - Attributed CPL</t>
  </si>
  <si>
    <t xml:space="preserve">VAR Summary =\n    ADDCOLUMNS(\n        ALLSELECTED(dim_vendor[VendorName]),\n        "__Val",\n        CALCULATE(\n            DIVIDE(\n                [Marketing Spend],\n                CALCULATE(\n                    SUMX(\n                        VALUES(fact_prospect_journey[ProspectKey]),\n                        CALCULATE(\n                            DIVIDE(1, MAX(fact_prospect_journey[TotalTouches]), 0)\n                        )\n                    ),\n                    fact_prospect_journey[Converted] = TRUE(),\n                    USERELATIONSHIP(fact_prospect_journey[VendorKey], dim_vendor[VendorKey])\n                )\n            )\n        )\n    )\nVAR FilteredSummary = FILTER(Summary, NOT ISBLANK([__Val]) &amp;&amp; [__Val] &gt; 0)\nVAR TopRow = TOPN(1, FilteredSummary, [__Val], ASC)\nVAR TopName = MAXX(TopRow, [VendorName])\nVAR TopVal  = MAXX(TopRow, [__Val])\nRETURN\nIF(\n    ISBLANK(TopName), BLANK(),\n    UNICHAR(128293) &amp; " " &amp; TopName &amp; " - $" &amp; FORMAT(TopVal, "#,0")\n)</t>
  </si>
  <si>
    <t xml:space="preserve">Top Vendor - Attributed Leases</t>
  </si>
  <si>
    <t xml:space="preserve">VAR Summary =\n    ADDCOLUMNS(\n        ALLSELECTED(dim_vendor[VendorName]),\n        "__Val",\n        CALCULATE(\n            DISTINCTCOUNT(fact_prospect_journey[ProspectKey]),\n            fact_prospect_journey[Converted] = TRUE(),\n            USERELATIONSHIP(fact_prospect_journey[VendorKey], dim_vendor[VendorKey])\n        )\n    )\nVAR TopRow = TOPN(1, Summary, [__Val], DESC)\nVAR TopName = MAXX(TopRow, [VendorName])\nVAR TopVal  = MAXX(TopRow, [__Val])\nRETURN\nIF(\n    ISBLANK(TopName), BLANK(),\n    UNICHAR(128293) &amp; " " &amp; TopName &amp; " - " &amp; FORMAT(TopVal, "#,0")\n)</t>
  </si>
  <si>
    <t xml:space="preserve">Top Vendor - Cost per Attributed Dollar</t>
  </si>
  <si>
    <t xml:space="preserve">VAR Summary =\n    ADDCOLUMNS(\n        ALLSELECTED(dim_vendor[VendorName]),\n        "__Val",\n        CALCULATE(\n            DIVIDE(\n                [Marketing Spend],\n                CALCULATE(\n                    SUMX(fact_prospect_journey, fact_prospect_journey[AttributedValue]),\n                    fact_prospect_journey[Converted] = TRUE(),\n                    USERELATIONSHIP(fact_prospect_journey[VendorKey], dim_vendor[VendorKey])\n                )\n            )\n        )\n    )\nVAR FilteredSummary = FILTER(Summary, NOT ISBLANK([__Val]) &amp;&amp; [__Val] &gt; 0)\nVAR TopRow = TOPN(1, FilteredSummary, [__Val], ASC)\nVAR TopName = MAXX(TopRow, [VendorName])\nVAR TopVal  = MAXX(TopRow, [__Val])\nRETURN\nIF(\n    ISBLANK(TopName), BLANK(),\n    UNICHAR(128293) &amp; " " &amp; TopName &amp; " - $" &amp; FORMAT(TopVal, "0.00")\n)</t>
  </si>
  <si>
    <t xml:space="preserve">Value Share %</t>
  </si>
  <si>
    <t xml:space="preserve">Share of total attributed lease value held by the current channel/vendor.</t>
  </si>
  <si>
    <t xml:space="preserve">VAR ChannelTotal = [Lease Value (Selected Model)]\nVAR GrandTotal =\n    CALCULATE(\n        [Lease Value (Selected Model)],\n        ALL(dim_channel),\n        ALL(dim_vendor)\n    )\nRETURN\nDIVIDE(ChannelTotal, GrandTotal)</t>
  </si>
  <si>
    <t xml:space="preserve">Composite Operations Index (0–100) evaluating property operational performance.</t>
  </si>
  <si>
    <t xml:space="preserve">Components: Occupancy, Vacancy, Absorption, Coverage, plus Lease Velocity, Net Absorption, SLA Compliance.</t>
  </si>
  <si>
    <t xml:space="preserve">Structure: 4.1 Components → 4.2 KPIs → 4.3.1 Final Score → 4.3.2 Tiers/Labels → 4.3.3 Color/Formatting.</t>
  </si>
  <si>
    <t xml:space="preserve">Includes risk-bucket classification and display helpers for ops matrix / map visuals.</t>
  </si>
  <si>
    <t xml:space="preserve">Absorption Actual</t>
  </si>
  <si>
    <t xml:space="preserve">Component / Pillar</t>
  </si>
  <si>
    <t xml:space="preserve">Underlying ops component value used as an input to the Operations Index.</t>
  </si>
  <si>
    <t xml:space="preserve">04 - Ops Index\4.1 - Components</t>
  </si>
  <si>
    <t xml:space="preserve">[Absorption Days (Est)]</t>
  </si>
  <si>
    <t xml:space="preserve">Coverage Actual</t>
  </si>
  <si>
    <t xml:space="preserve">[Coverage Ratio (Next 60D)]</t>
  </si>
  <si>
    <t xml:space="preserve">Occupancy Actual</t>
  </si>
  <si>
    <t xml:space="preserve">[Occupancy Rate %]</t>
  </si>
  <si>
    <t xml:space="preserve">Ops Index - Strongest Component</t>
  </si>
  <si>
    <t xml:space="preserve">Operations Index component: contribution of Strongest Component to the overall Ops score.</t>
  </si>
  <si>
    <t xml:space="preserve">VAR Occ = [Ops Index - Occupancy]\nVAR Vac = [Ops Index - Vacancy]\nVAR Abs = [Ops Index - Absorption]\nVAR Cov = [Ops Index - Coverage]\nVAR Vel = [Ops Index - Lease Velocity]\nVAR Net = [Ops Index - Net Absorption]\nVAR SLA = [Ops Index - SLA Compliance]\n\nVAR MaxScore = MAX(Occ, MAX(Vac, MAX(Abs, MAX(Cov, MAX(Vel, MAX(Net, SLA))))))\n\nRETURN\nSWITCH(\n    TRUE(),\n    MaxScore = Occ, "Occupancy Rate",\n    MaxScore = Vac, "Vacancy Management",\n    MaxScore = Abs, "Absorption Speed",\n    MaxScore = Cov, "Coverage Ratio",\n    MaxScore = Vel, "Lease Velocity",\n    MaxScore = Net, "Net Absorption",\n    MaxScore = SLA, "SLA Compliance",\n    BLANK()\n)</t>
  </si>
  <si>
    <t xml:space="preserve">Ops Index - Strongest Score</t>
  </si>
  <si>
    <t xml:space="preserve">Operations Index component: contribution of Strongest Score to the overall Ops score.</t>
  </si>
  <si>
    <t xml:space="preserve">VAR Occ = [Ops Index - Occupancy]\nVAR Vac = [Ops Index - Vacancy]\nVAR Abs = [Ops Index - Absorption]\nVAR Cov = [Ops Index - Coverage]\nVAR Vel = [Ops Index - Lease Velocity]\nVAR Net = [Ops Index - Net Absorption]\nVAR SLA = [Ops Index - SLA Compliance]\n\nRETURN MAX(Occ, MAX(Vac, MAX(Abs, MAX(Cov, MAX(Vel, MAX(Net, SLA))))))</t>
  </si>
  <si>
    <t xml:space="preserve">Ops Index - Weakest Component</t>
  </si>
  <si>
    <t xml:space="preserve">Operations Index component: contribution of Weakest Component to the overall Ops score.</t>
  </si>
  <si>
    <t xml:space="preserve">VAR Occ = [Ops Index - Occupancy]\nVAR Vac = [Ops Index - Vacancy]\nVAR Abs = [Ops Index - Absorption]\nVAR Cov = [Ops Index - Coverage]\nVAR Vel = [Ops Index - Lease Velocity]\nVAR Net = [Ops Index - Net Absorption]\nVAR SLA = [Ops Index - SLA Compliance]\n\nVAR MinScore = MIN(Occ, MIN(Vac, MIN(Abs, MIN(Cov, MIN(Vel, MIN(Net, SLA))))))\n\nRETURN\nSWITCH(\n    TRUE(),\n    MinScore = Occ, "Occupancy Rate",\n    MinScore = Vac, "Vacancy Management",\n    MinScore = Abs, "Absorption Speed",\n    MinScore = Cov, "Coverage Ratio",\n    MinScore = Vel, "Lease Velocity",\n    MinScore = Net, "Net Absorption",\n    MinScore = SLA, "SLA Compliance",\n    BLANK()\n)</t>
  </si>
  <si>
    <t xml:space="preserve">Ops Index - Weakest Score</t>
  </si>
  <si>
    <t xml:space="preserve">Operations Index component: contribution of Weakest Score to the overall Ops score.</t>
  </si>
  <si>
    <t xml:space="preserve">VAR Occ = [Ops Index - Occupancy]\nVAR Vac = [Ops Index - Vacancy]\nVAR Abs = [Ops Index - Absorption]\nVAR Cov = [Ops Index - Coverage]\nVAR Vel = [Ops Index - Lease Velocity]\nVAR Net = [Ops Index - Net Absorption]\nVAR SLA = [Ops Index - SLA Compliance]\n\nRETURN MIN(Occ, MIN(Vac, MIN(Abs, MIN(Cov, MIN(Vel, MIN(Net, SLA))))))</t>
  </si>
  <si>
    <t xml:space="preserve">Vacancy Actual</t>
  </si>
  <si>
    <t xml:space="preserve">[Vacancy Rate %]</t>
  </si>
  <si>
    <t xml:space="preserve">Calculation Logic</t>
  </si>
  <si>
    <t xml:space="preserve">04 - Ops Index\4.2 - KPI</t>
  </si>
  <si>
    <t xml:space="preserve">\nCALCULATE(\n    MAX('dim_visual_dictionary'[CalculationLogic]),\n    'dim_visual_dictionary'[VisualKey] = "OPS_MON_OPS_INDEX"\n)</t>
  </si>
  <si>
    <t xml:space="preserve">How To Read</t>
  </si>
  <si>
    <t xml:space="preserve">CALCULATE(\n    MAX('dim_visual_dictionary'[HowToRead]),\n    'dim_visual_dictionary'[VisualKey] = "OPS_MON_OPS_INDEX"\n)</t>
  </si>
  <si>
    <t xml:space="preserve">Ops Index (Matrix)</t>
  </si>
  <si>
    <t xml:space="preserve">Measure designed for matrix visuals (dynamic row/column context switching).</t>
  </si>
  <si>
    <t xml:space="preserve">\n    ([Occupancy Actual] * 0.20) + \n    ([Vacancy Actual] * 0.25) +\n    ([Absorption Actual] * 0.30) +\n    ([Coverage Actual] * 0.25)</t>
  </si>
  <si>
    <t xml:space="preserve">Ops Index - Absorption</t>
  </si>
  <si>
    <t xml:space="preserve">Operations Index component: contribution of Absorption to the overall Ops score.</t>
  </si>
  <si>
    <t xml:space="preserve">VAR Days = [Absorption Days (Est)]\nVAR Score = (1 - (Days - 15) / (90 - 15)) * 100\nRETURN MIN(MAX(Score, 0), 100)</t>
  </si>
  <si>
    <t xml:space="preserve">Ops Index - Coverage</t>
  </si>
  <si>
    <t xml:space="preserve">Operations Index component: contribution of Coverage to the overall Ops score.</t>
  </si>
  <si>
    <t xml:space="preserve">VAR CoverageRatio = [Coverage Ratio (Next 60D)]\n-- v7: ceiling lowered 1.20 → 0.95 to match realistic data distribution.\nVAR Score = (CoverageRatio - 0.45) / (0.95 - 0.45) * 100\nRETURN MIN(MAX(Score, 0), 100)</t>
  </si>
  <si>
    <t xml:space="preserve">Ops Index - Coverage (Matrix)</t>
  </si>
  <si>
    <t xml:space="preserve">Operations Index component: contribution of Coverage (Matrix) to the overall Ops score.</t>
  </si>
  <si>
    <t xml:space="preserve">\nVAR CoverageRatio = [Coverage Ratio (Next 60D)]\nVAR Score = (CoverageRatio - 0.60) / (1.20 - 0.60) * 100\nRETURN MIN(MAX(Score, 0), 100)</t>
  </si>
  <si>
    <t xml:space="preserve">Ops Index - Lease Velocity</t>
  </si>
  <si>
    <t xml:space="preserve">Operations Index component: contribution of Lease Velocity to the overall Ops score.</t>
  </si>
  <si>
    <t xml:space="preserve">VAR Velocity = [Lease Velocity]\nVAR Score = (Velocity - 0.02) / (0.20 - 0.02) * 100\nRETURN MIN(MAX(Score, 0), 100)</t>
  </si>
  <si>
    <t xml:space="preserve">Ops Index - Net Absorption</t>
  </si>
  <si>
    <t xml:space="preserve">Operations Index component: contribution of Net Absorption to the overall Ops score.</t>
  </si>
  <si>
    <t xml:space="preserve">VAR NetAbsorption = [Net Absorption]\nVAR TotalUnits = [Total Units]\nVAR NormalizedAbsorption = DIVIDE(NetAbsorption, TotalUnits, 0)\nVAR Score = ((NormalizedAbsorption - (-0.10)) / (0.10 - (-0.10))) * 100\nRETURN MIN(MAX(Score, 0), 100)</t>
  </si>
  <si>
    <t xml:space="preserve">Ops Index - Occupancy</t>
  </si>
  <si>
    <t xml:space="preserve">Operations Index component: contribution of Occupancy to the overall Ops score.</t>
  </si>
  <si>
    <t xml:space="preserve">VAR OccRate = [Occupancy Rate %]\nVAR Score = (OccRate - 0.75) / (0.97 - 0.75) * 100\nRETURN MIN(MAX(Score, 0), 100)</t>
  </si>
  <si>
    <t xml:space="preserve">Ops Index - SLA Compliance</t>
  </si>
  <si>
    <t xml:space="preserve">Operations Index component: contribution of SLA Compliance to the overall Ops score.</t>
  </si>
  <si>
    <t xml:space="preserve">VAR SLACompliance = [Within SLA (1/0)]\nRETURN SLACompliance * 100</t>
  </si>
  <si>
    <t xml:space="preserve">Ops Index - Vacancy</t>
  </si>
  <si>
    <t xml:space="preserve">Operations Index component: contribution of Vacancy to the overall Ops score.</t>
  </si>
  <si>
    <t xml:space="preserve">VAR VacantUnits = [Vacant Ready Units (Est)]\nVAR TotalUnits = [Total Units]\nVAR VacancyRate = DIVIDE(VacantUnits, TotalUnits)\nVAR Score = (1 - (VacancyRate - 0.03) / (0.20 - 0.03)) * 100\nRETURN MIN(MAX(Score, 0), 100)</t>
  </si>
  <si>
    <t xml:space="preserve">Ops Index Average</t>
  </si>
  <si>
    <t xml:space="preserve">\nCALCULATE(\n    AVERAGEX(\n        VALUES('dim_property'[PropertyKey]),\n        [Operations Index Score]\n    ),\n    REMOVEFILTERS('dim_property'[PropertyKey])\n)</t>
  </si>
  <si>
    <t xml:space="preserve">Ops Index Rank (Market)</t>
  </si>
  <si>
    <t xml:space="preserve">Ranking helper — orders entities within the current filter context.</t>
  </si>
  <si>
    <t xml:space="preserve">VAR CurrentMarket = SELECTEDVALUE(dim_market[MarketName])\nVAR CurrentScore = \n    CALCULATE(\n        [Operations Index Score],\n        ALLEXCEPT(dim_market, dim_market[MarketName])\n    )\nRETURN\nIF(\n    ISBLANK(CurrentScore),\n    BLANK(),\n    RANKX(\n        ALL(dim_market),\n        CALCULATE([Operations Index Score]),\n        ,\n        DESC,\n        DENSE\n    )\n)</t>
  </si>
  <si>
    <t xml:space="preserve">Ops Index Rank (Market) Subheader</t>
  </si>
  <si>
    <t xml:space="preserve">\nVAR RankValue = [Ops Index Rank (Market)]\nVAR CurrentMarketKey = SELECTEDVALUE(dim_property[MarketKey])\nVAR TotalPropertiesInMarket =\n    COUNTROWS(\n        FILTER(\n            ALL(dim_property),\n            dim_property[MarketKey] = CurrentMarketKey\n        )\n    )\nRETURN\nIF(\n    ISBLANK(RankValue),\n    BLANK(),\n    "Market #" &amp; RankValue &amp; " out of " &amp; TotalPropertiesInMarket\n)</t>
  </si>
  <si>
    <t xml:space="preserve">Ops Index Rank (Property)</t>
  </si>
  <si>
    <t xml:space="preserve">VAR CurrentScore = [Operations Index Score]\nRETURN\nIF(\n    ISBLANK(CurrentScore),\n    BLANK(),\n    IF(\n        HASONEVALUE(dim_property[PropertyName]),\n        RANKX(\n            ALL(dim_property),\n            CALCULATE([Operations Index Score]),\n            ,\n            DESC,\n            DENSE\n        ),\n        RANKX(\n            ALLSELECTED(dim_property),\n            [Operations Index Score],\n            ,\n            DESC,\n            DENSE\n        )\n    )\n)</t>
  </si>
  <si>
    <t xml:space="preserve">Ops Index Rank (Property) Display</t>
  </si>
  <si>
    <t xml:space="preserve">\nVAR RankValue = [Ops Index Rank (Property)]\nVAR TotalProperties = CALCULATE(COUNTROWS(ALL(dim_property)))\nRETURN\nIF(\n    ISBLANK(RankValue),\n    BLANK(),\n    "#" &amp; RankValue &amp; " of " &amp; TotalProperties\n)</t>
  </si>
  <si>
    <t xml:space="preserve">Ops Index Rank (Region)</t>
  </si>
  <si>
    <t xml:space="preserve">\nVAR CurrentPropertyKey = SELECTEDVALUE(dim_property[PropertyKey])\nVAR CurrentRegionKey = SELECTEDVALUE(dim_property[RegionKey])\n\nVAR CurrentScore =\n    CALCULATE(\n        [Operations Index Score],\n        REMOVEFILTERS(dim_property),\n        REMOVEFILTERS(dim_market),\n        dim_property[PropertyKey] = CurrentPropertyKey\n    )\n\nRETURN\nIF(\n    ISBLANK(CurrentScore),\n    BLANK(),\n    RANKX(\n        FILTER(\n            ALL(dim_property),\n            dim_property[RegionKey] = CurrentRegionKey\n        ),\n        CALCULATE(\n            [Operations Index Score],\n            REMOVEFILTERS(dim_market)\n        ),\n        CurrentScore,\n        DESC,\n        DENSE\n    )\n)</t>
  </si>
  <si>
    <t xml:space="preserve">OPS_MON_OPS_INDEX - CalculationLogic</t>
  </si>
  <si>
    <t xml:space="preserve">CALCULATE(\n    MAX('dim_visual_dictionary'[CalculationLogic]),\n    'dim_visual_dictionary'[VisualKey] = "OPS_MON_OPS_INDEX"\n)</t>
  </si>
  <si>
    <t xml:space="preserve">OPS_MON_OPS_INDEX - HowToRead</t>
  </si>
  <si>
    <t xml:space="preserve">OPS_MON_OPS_INDEX - Insight</t>
  </si>
  <si>
    <t xml:space="preserve">CALCULATE(\n    MAX('dim_visual_dictionary'[Insight]),\n    'dim_visual_dictionary'[VisualKey] = "OPS_MON_OPS_INDEX"\n)</t>
  </si>
  <si>
    <t xml:space="preserve">OPS_MON_OPS_INDEX - Purpose</t>
  </si>
  <si>
    <t xml:space="preserve">CALCULATE(\n    MAX('dim_visual_dictionary'[Purpose]),\n    'dim_visual_dictionary'[VisualKey] = "OPS_MON_OPS_INDEX"\n)</t>
  </si>
  <si>
    <t xml:space="preserve">Properties At Risk (Region)</t>
  </si>
  <si>
    <t xml:space="preserve">\nVAR CurrentRegionKey = SELECTEDVALUE(dim_region[RegionKey])\nRETURN\nCALCULATE(\n    DISTINCTCOUNT(dim_property[PropertyKey]),\n    ALL(dim_property),\n    dim_property[RegionKey] = CurrentRegionKey,\n    FILTER(\n        ALL(dim_property),\n        [RiskLayer Label] = "At Risk"\n    )\n)\n</t>
  </si>
  <si>
    <t xml:space="preserve">Vendor Strength Area</t>
  </si>
  <si>
    <t xml:space="preserve">Identifies the funnel stage where the vendor is strongest.</t>
  </si>
  <si>
    <t xml:space="preserve">\nVAR SelectedVendorKey = SELECTEDVALUE('dim_vendor'[VendorKey])\n\nVAR T =\n    UNION(\n        ROW(\n            "Area", "Vacancy",\n            "Rank",\n                RANKX(\n                    ALL('dim_vendor'[VendorKey]),\n                    CALCULATE([Vacancy Score Component]),\n                    ,\n                    DESC,\n                    DENSE\n                )\n        ),\n        ROW(\n            "Area", "Coverage",\n            "Rank",\n                RANKX(\n                    ALL('dim_vendor'[VendorKey]),\n                    CALCULATE([Ops Index - Coverage (Matrix)]),\n                    ,\n                    DESC,\n                    DENSE\n                )\n        ),\n        ROW(\n            "Area", "Occupancy",\n            "Rank",\n                RANKX(\n                    ALL('dim_vendor'[VendorKey]),\n                    CALCULATE([Occupancy Score Component]),\n                    ,\n                    DESC,\n                    DENSE\n                )\n        ),\n        ROW(\n            "Area", "Absorption",\n            "Rank",\n                RANKX(\n                    ALL('dim_vendor'[VendorKey]),\n                    CALCULATE([Absorption Score Component]),\n                    ,\n                    DESC,\n                    DENSE\n                )\n        )\n    )\n\nVAR T_SelectedVendorOnly =\n    FILTER(\n        ADDCOLUMNS(\n            T,\n            "IsSelectedVendor",\n                CALCULATE(\n                    1,\n                    KEEPFILTERS('dim_vendor'[VendorKey] = SelectedVendorKey)\n                )\n        ),\n        [IsSelectedVendor] = 1\n    )\n\nVAR BestRow =\n    TOPN(1, T_SelectedVendorOnly, [Rank], ASC)\n\nRETURN\nIF(\n    ISBLANK(SelectedVendorKey),\n    BLANK(),\n    MAXX(BestRow, [Area]) &amp; " (Rank " &amp; MAXX(BestRow, [Rank]) &amp; ")"\n)\n</t>
  </si>
  <si>
    <t xml:space="preserve">Vendor Weakness Area</t>
  </si>
  <si>
    <t xml:space="preserve">Identifies the funnel stage where the vendor is weakest.</t>
  </si>
  <si>
    <t xml:space="preserve">\nVAR SelectedVendorKey = SELECTEDVALUE('dim_vendor'[VendorKey])\n\nVAR T =\n    UNION(\n        ROW(\n            "Area", "Vacancy",\n            "Rank",\n                RANKX(\n                    ALL('dim_vendor'[VendorKey]),\n                    CALCULATE([Vacancy Score Component]),\n                    ,\n                    DESC,\n                    DENSE\n                )\n        ),\n        ROW(\n            "Area", "Coverage",\n            "Rank",\n                RANKX(\n                    ALL('dim_vendor'[VendorKey]),\n                    CALCULATE([Ops Index - Coverage (Matrix)]),\n                    ,\n                    DESC,\n                    DENSE\n                )\n        ),\n        ROW(\n            "Area", "Occupancy",\n            "Rank",\n                RANKX(\n                    ALL('dim_vendor'[VendorKey]),\n                    CALCULATE([Occupancy Score Component]),\n                    ,\n                    DESC,\n                    DENSE\n                )\n        ),\n        ROW(\n            "Area", "Absorption",\n            "Rank",\n                RANKX(\n                    ALL('dim_vendor'[VendorKey]),\n                    CALCULATE([Absorption Score Component]),\n                    ,\n                    DESC,\n                    DENSE\n                )\n        )\n    )\n\nVAR T_SelectedVendorOnly =\n    FILTER(\n        ADDCOLUMNS(\n            T,\n            "IsSelectedVendor",\n                CALCULATE(\n                    1,\n                    KEEPFILTERS('dim_vendor'[VendorKey] = SelectedVendorKey)\n                )\n        ),\n        [IsSelectedVendor] = 1\n    )\n\nVAR WorstRow =\n    TOPN(1, T_SelectedVendorOnly, [Rank], DESC)\n\nRETURN\nIF(\n    ISBLANK(SelectedVendorKey),\n    BLANK(),\n    MAXX(WorstRow, [Area]) &amp; " (Rank " &amp; MAXX(WorstRow, [Rank]) &amp; ")"\n)\n</t>
  </si>
  <si>
    <t xml:space="preserve">Ops Risk Band</t>
  </si>
  <si>
    <t xml:space="preserve">4 - Ops Index\4.2 - KPI</t>
  </si>
  <si>
    <t xml:space="preserve">\nSWITCH(\n    TRUE(),\n    [Not Ready Backlog Days (Est)] &gt; 20 &amp;&amp; [Vacant Units (As Of)] &gt; 30, "High Risk",\n    [Not Ready Backlog Days (Est)] &gt; 14, "Watch",\n    "Healthy"\n)\n</t>
  </si>
  <si>
    <t xml:space="preserve">Properties in Risk Cell</t>
  </si>
  <si>
    <t xml:space="preserve">\nVAR SelectedSort = SELECTEDVALUE('Table Risk Layer'[Sort])\nRETURN\nCOALESCE(\n    COUNTROWS(\n        FILTER(\n            ADDCOLUMNS(\n                VALUES(dim_property[PropertyKey]),\n                "__BucketSort", CALCULATE([Ops Risk Bucket Sort])\n            ),\n            NOT ISBLANK([__BucketSort])\n                &amp;&amp; [__BucketSort] = SelectedSort\n        )\n    ),\n    0\n)\n\n</t>
  </si>
  <si>
    <t xml:space="preserve">Operations Index Score</t>
  </si>
  <si>
    <t xml:space="preserve">Final Score / Ranking</t>
  </si>
  <si>
    <t xml:space="preserve">Composite Operations Index (0–100): blended score of occupancy, vacancy, absorption, coverage and related ops pillars.</t>
  </si>
  <si>
    <t xml:space="preserve">04 - Ops Index\4.3 - Score\4.3.1 - Final Score</t>
  </si>
  <si>
    <t xml:space="preserve">\nVAR OccupancyScore =\n    VAR OccRate = [Occupancy Rate %]\n    VAR Score = (OccRate - 0.605) / (0.933 - 0.605) * 100\n    RETURN MIN(MAX(Score, 0), 100) * 0.20\n\nVAR VacancyScore =\n    VAR VacantUnits = [Vacant Ready Units (Est)]\n    VAR TotalUnits = [Total Units]\n    VAR VacancyRate = DIVIDE(VacantUnits, TotalUnits)\n    VAR Score = (1 - (VacancyRate - 0.067) / (0.395 - 0.067)) * 100\n    RETURN MIN(MAX(Score, 0), 100) * 0.10\n\nVAR AbsorptionScore =\n    VAR Days = [Absorption Days (Est)]\n    VAR Score = (1 - (Days - 20.56) / (166.2 - 20.56)) * 100\n    RETURN MIN(MAX(Score, 0), 100) * 0.15\n\nVAR CoverageScore =\n    VAR CovRatio = [Coverage Ratio (Next 60D)]\n    VAR Score = MIN((CovRatio - 0.45) / (0.95 - 0.45) * 100, 100)\n    RETURN MAX(Score, 0) * 0.20\n\nVAR LeaseVelocityScore =\n    VAR Vel = [Lease Velocity]\n    VAR Score = (Vel - 0.0073) / (0.0536 - 0.0073) * 100\n    RETURN MIN(MAX(Score, 0), 100) * 0.15\n\nVAR NetAbsorptionScore =\n    VAR NetAbs = DIVIDE([Net Absorption], [Total Units], 0)\n    VAR Score = (NetAbs - (-0.8115)) / (0.0483 - (-0.8115)) * 100\n    RETURN MIN(MAX(Score, 0), 100) * 0.10\n\nVAR SLAScore =\n    VAR SLA = IF([Within SLA] = "Yes", 1, 0)\n    RETURN SLA * 100 * 0.10\n\nRETURN\n    OccupancyScore +\n    VacancyScore +\n    AbsorptionScore +\n    CoverageScore +\n    LeaseVelocityScore +\n    NetAbsorptionScore +\n    SLAScore</t>
  </si>
  <si>
    <t xml:space="preserve">Ops Index Score (Stars)</t>
  </si>
  <si>
    <t xml:space="preserve">\nVAR Score = [Operations Index Score]\n\nRETURN\nIF(\n    ISBLANK(Score),\n    BLANK(),\n    FORMAT(Score, "0") &amp; " " &amp;\n    SWITCH(\n        TRUE(),\n        Score &gt;= 80, "★★★★★",\n        Score &gt;= 60, "★★★★☆",\n        Score &gt;= 40, "★★★☆☆",\n        Score &gt;= 20, "★★☆☆☆",\n        "★☆☆☆☆"\n    )\n)</t>
  </si>
  <si>
    <t xml:space="preserve">CF Ops Index Tier</t>
  </si>
  <si>
    <t xml:space="preserve">Tier / Label</t>
  </si>
  <si>
    <t xml:space="preserve">04 - Ops Index\4.3 - Score\4.3.2 - Tiers &amp; Labels</t>
  </si>
  <si>
    <t xml:space="preserve">\nVAR Score = [Operations Index Score]\nRETURN\nSWITCH(\n    TRUE(),\n    ISBLANK(Score), "#2A2E36",\n    Score &gt;= 85, "#22c55e",  -- ✅ Optimized\n    Score &gt;= 65, "#eab308",  -- ⚠️ Optimizing\n    Score &gt;= 60, "#f97316",  -- 🟠 At Risk\n                 "#dc2626"   -- 🔴 Critical\n)</t>
  </si>
  <si>
    <t xml:space="preserve">Operations Risk Bucket</t>
  </si>
  <si>
    <t xml:space="preserve">Categorical risk bucket (e.g., High / Medium / Low) derived from the Ops Index score.</t>
  </si>
  <si>
    <t xml:space="preserve">\nVAR Score = [Operations Index Score]\nRETURN\nIF(\n    ISBLANK(Score),\n    BLANK(),\n    CALCULATE(\n        MAX('Table Risk Layer'[RiskLayer]),\n        FILTER(\n            ALL('Table Risk Layer'),\n            Score &gt;= 'Table Risk Layer'[MinScore]\n                &amp;&amp; Score &lt;= 'Table Risk Layer'[MaxScore]\n        )\n    )\n)\n\n</t>
  </si>
  <si>
    <t xml:space="preserve">Ops Index Score (Tier &amp; Icons)</t>
  </si>
  <si>
    <t xml:space="preserve">\nVAR Score = [Operations Index Score]\nVAR Icon =\n    SWITCH(\n        TRUE(),\n        ISBLANK(Score), BLANK(),\n        Score &gt;= 85, "✅",\n        Score &gt;= 65, "⚠️",\n        Score &gt;= 60, "🟠",\n        "🔴"\n    )\nRETURN\nIF(\n    ISBLANK(Score), BLANK(),\n    FORMAT(Score, "0") &amp; " " &amp; Icon\n)</t>
  </si>
  <si>
    <t xml:space="preserve">Ops Index Score (Tier)</t>
  </si>
  <si>
    <t xml:space="preserve">\nVAR Score = [Operations Index Score]\nVAR Tier =\n    SWITCH(\n        TRUE(),\n        ISBLANK(Score), BLANK(),\n        Score &gt;= 85, "Optimized",\n        Score &gt;= 65, "Optimizing",\n        Score &gt;= 60, "At Risk",\n        "Critical"\n    )\nRETURN\nIF(\n    ISBLANK(Score), BLANK(),\n    FORMAT(Score, "0") &amp; " · " &amp; Tier\n)</t>
  </si>
  <si>
    <t xml:space="preserve">Ops Index Tier</t>
  </si>
  <si>
    <t xml:space="preserve">\nVAR Score = [Operations Index Score]\nRETURN\nSWITCH(\n    TRUE(),\n    ISBLANK(Score), BLANK(),\n    Score &gt;= 86.3,  UNICHAR(11088) &amp; " Excellent",\n    Score &gt;= 79.3,  UNICHAR(9989)  &amp; " Good",\n    Score &gt;= 60.0,  UNICHAR(9888)  &amp; " Average",\n    Score &gt;= 49.2,  UNICHAR(128308) &amp; " Below Average",\n                    UNICHAR(128308) &amp; " Critical"\n)</t>
  </si>
  <si>
    <t xml:space="preserve">Performance Status</t>
  </si>
  <si>
    <t xml:space="preserve">Ops performance status label (tier) for display.</t>
  </si>
  <si>
    <t xml:space="preserve">\nSWITCH(\n    TRUE(),\n    [Operations Index Score] &gt;= 85, "Excellent",\n    [Operations Index Score] &gt;= 65, "Fine",\n    "Bad"\n)</t>
  </si>
  <si>
    <t xml:space="preserve">Show Property In Selected Risk Cell</t>
  </si>
  <si>
    <t xml:space="preserve">Display-gate helper: returns TRUE when the current row should appear in the selected slicer context.</t>
  </si>
  <si>
    <t xml:space="preserve">\nVAR SelectedRisk =\n    SELECTEDVALUE('Table Risk Layer'[RiskLayer])\nRETURN\nIF(\n    ISBLANK(SelectedRisk)\n        || [Operations Risk Bucket] = SelectedRisk,\n    1,\n    0\n)\n</t>
  </si>
  <si>
    <t xml:space="preserve">Ops Risk Bucket Sort</t>
  </si>
  <si>
    <t xml:space="preserve">4 - Ops Index\4.3 - Score\4.3.2 - Tiers &amp; Labels</t>
  </si>
  <si>
    <t xml:space="preserve">\nVAR Score = [Operations Index Score]\nRETURN\nIF(\n    ISBLANK(Score),\n    BLANK(),\n    CALCULATE(\n        MAX('Table Risk Layer'[Sort]),\n        FILTER(\n            ALL('Table Risk Layer'),\n            Score &gt;= 'Table Risk Layer'[MinScore]\n                &amp;&amp; Score &lt;= 'Table Risk Layer'[MaxScore]\n        )\n    )\n)\n</t>
  </si>
  <si>
    <t xml:space="preserve">Operation Index Tier Color</t>
  </si>
  <si>
    <t xml:space="preserve">Color / Formatting</t>
  </si>
  <si>
    <t xml:space="preserve">04 - Ops Index\4.3 - Score\4.3.3 - Color &amp; Formatting</t>
  </si>
  <si>
    <t xml:space="preserve">\nVAR Tier = [Ops Index Tier]\nRETURN\nSWITCH(\n    Tier,\n    "Excellent",     "#00C853",\n    "Good",          "#76C442",\n    "Average",       "#F5A623",\n    "Below Average", "#E8431D",\n    "Critical",      "#C0001A",\n    "#2A2E36"\n)</t>
  </si>
  <si>
    <t xml:space="preserve">RiskLayer Label 2</t>
  </si>
  <si>
    <t xml:space="preserve">Display label for the property risk layer on ops matrices/maps.</t>
  </si>
  <si>
    <t xml:space="preserve">\n\nVAR Score = [Operations Index Score]\nRETURN\nSWITCH(\n    TRUE(),\n    ISBLANK(Score), BLANK(),\n    Score &gt;= 85, "Excellent",\n    Score &gt;= 65, "Operational",\n    "At Risk"\n)\n</t>
  </si>
  <si>
    <t xml:space="preserve">RiskLayer Cell Color</t>
  </si>
  <si>
    <t xml:space="preserve">4 - Ops Index\4.3 - Score\4.3.3 - Color &amp; Formatting</t>
  </si>
  <si>
    <t xml:space="preserve">\nVAR _col = SELECTEDVALUE('Table Risk Layer'[RiskLayer])\nRETURN\nSWITCH(\n    _col,\n    "Optimized",  "#3D3A2E",  // Rich Gold (best/excellent)\n    "Optimizing",       "#35332D",  // Silver (good/improving)\n    "At Risk",          "#2E2D2A",  // Light Gold (caution)\n    "Critical",         "#252422 ",  // Charcoal Grey (urgent/concern)\n    BLANK() \n)\n</t>
  </si>
  <si>
    <t xml:space="preserve">RiskLayer Label</t>
  </si>
  <si>
    <t xml:space="preserve">\nVAR Score = [Operations Index Score]\nRETURN\nSWITCH(\n    TRUE(),\n    ISBLANK(Score), BLANK(),\n    Score &gt;= 85, "Optimized",\n    Score &gt;= 65, "Optimizing",\n    Score &gt;= 60, "At Risk",\n    "Critical"\n)</t>
  </si>
  <si>
    <t xml:space="preserve">Portfolio Health Index (PHI) — portfolio-wide composite combining occupancy, leasing and demand pillars.</t>
  </si>
  <si>
    <t xml:space="preserve">Structure: 5.1 Components → 5.2 Pillar KPIs + Narrative Insights → 5.3 Color/Formatting.</t>
  </si>
  <si>
    <t xml:space="preserve">Eight narrative insight measures surface the strongest/weakest pillar, most-improved/sharpest-decline pillar, coverage risk, velocity outlook, market and vendor signals.</t>
  </si>
  <si>
    <t xml:space="preserve">Star rating measure converts PHI score into a 1–5 star visual for executive summary.</t>
  </si>
  <si>
    <t xml:space="preserve">PHI Insight 1 - Strongest Pillar</t>
  </si>
  <si>
    <t xml:space="preserve">Narrative insight generated from PHI pillars (e.g., strongest pillar, sharpest decline); used on the executive summary page.</t>
  </si>
  <si>
    <t xml:space="preserve">05 - Portfolio Health\5.1 - Components</t>
  </si>
  <si>
    <t xml:space="preserve">\nVAR P1 = [Portfolio Health - Occupancy]\nVAR P2 = [Portfolio Health - Leasing]\nVAR P3 = [Portfolio Health - Demand]\nVAR Best = MAX(P1, MAX(P2, P3))\n\n-- Pillar 1 components\nVAR c_occ = MIN(MAX(([Occupancy Rate %] - 0.605) / (0.933 - 0.605) * 100, 0), 100)\nVAR c_abs = MIN(MAX((1 - ([Absorption Days (Est)] - 20.56) / (166.2 - 20.56)) * 100, 0), 100)\nVAR c_cov = MIN(MAX(([Coverage Ratio (Next 60D)] - 0.606) / (2.290 - 0.606) * 100, 0), 100)\n\n-- Pillar 2 components\nVAR c_cpl = MIN(MAX((1 - (DIVIDE([Marketing Spend], [New Leases (Actual)]) - 684.9) / (1071.9 - 684.9)) * 100, 0), 100)\nVAR c_vel = MIN(MAX(([Lease Velocity] - 0.0073) / (0.0536 - 0.0073) * 100, 0), 100)\nVAR c_net = MIN(MAX((DIVIDE([Net Absorption], [Total Units], 0) - (-0.8115)) / (0.0483 - (-0.8115)) * 100, 0), 100)\n\n-- Pillar 3 components\nVAR c_l2l = MIN(MAX(([Lead-to-Lease % (Actual)] - 0.1323) / (0.1398 - 0.1323) * 100, 0), 100)\n\nVAR TopMetric =\n    SWITCH(\n        TRUE(),\n        Best = P1, SWITCH(TRUE(),\n            c_occ &gt;= c_abs &amp;&amp; c_occ &gt;= c_cov, "Occupancy Rate",\n            c_abs &gt;= c_occ &amp;&amp; c_abs &gt;= c_cov, "Absorption Days",\n            "Coverage Ratio"),\n        Best = P2, SWITCH(TRUE(),\n            c_cpl &gt;= c_vel &amp;&amp; c_cpl &gt;= c_net, "Cost per Lease",\n            c_vel &gt;= c_cpl &amp;&amp; c_vel &gt;= c_net, "Lease Velocity",\n            "Net Absorption"),\n        Best = P3, IF(c_l2l &gt;= c_cov, "Lead-to-Lease %", "Coverage Ratio"),\n        "—"\n    )\n\n-- Actual current value of the winning metric, formatted appropriately\nVAR TopValue =\n    SWITCH(\n        TopMetric,\n        "Occupancy Rate",  FORMAT([Occupancy Rate %], "0.0%"),\n        "Absorption Days", FORMAT([Absorption Days (Est)], "#,0") &amp; " days",\n        "Coverage Ratio",  FORMAT([Coverage Ratio (Next 60D)], "0.00"),\n        "Cost per Lease",  FORMAT(DIVIDE([Marketing Spend], [New Leases (Actual)]), "$#,0"),\n        "Lease Velocity",  FORMAT([Lease Velocity], "0.000"),\n        "Net Absorption",  FORMAT([Net Abso ... [truncated]</t>
  </si>
  <si>
    <t xml:space="preserve">PHI Insight 2 - Weakest Pillar</t>
  </si>
  <si>
    <t xml:space="preserve">\nVAR P1 = [Portfolio Health - Occupancy]\nVAR P2 = [Portfolio Health - Leasing]\nVAR P3 = [Portfolio Health - Demand]\nVAR Worst = MIN(P1, MIN(P2, P3))\n\n-- Pillar 1 components\nVAR c_occ = MIN(MAX(([Occupancy Rate %] - 0.605) / (0.933 - 0.605) * 100, 0), 100)\nVAR c_abs = MIN(MAX((1 - ([Absorption Days (Est)] - 20.56) / (166.2 - 20.56)) * 100, 0), 100)\nVAR c_cov = MIN(MAX(([Coverage Ratio (Next 60D)] - 0.606) / (2.290 - 0.606) * 100, 0), 100)\n\n-- Pillar 2 components\nVAR c_cpl = MIN(MAX((1 - (DIVIDE([Marketing Spend], [New Leases (Actual)]) - 684.9) / (1071.9 - 684.9)) * 100, 0), 100)\nVAR c_vel = MIN(MAX(([Lease Velocity] - 0.0073) / (0.0536 - 0.0073) * 100, 0), 100)\nVAR c_net = MIN(MAX((DIVIDE([Net Absorption], [Total Units], 0) - (-0.8115)) / (0.0483 - (-0.8115)) * 100, 0), 100)\n\n-- Pillar 3 components\nVAR c_l2l = MIN(MAX(([Lead-to-Lease % (Actual)] - 0.1323) / (0.1398 - 0.1323) * 100, 0), 100)\n\n-- Lowest scoring component within the weakest pillar\nVAR DragMetric =\n    SWITCH(\n        TRUE(),\n        Worst = P1, SWITCH(TRUE(),\n            c_occ &lt;= c_abs &amp;&amp; c_occ &lt;= c_cov, "Occupancy Rate",\n            c_abs &lt;= c_occ &amp;&amp; c_abs &lt;= c_cov, "Absorption Days",\n            "Coverage Ratio"),\n        Worst = P2, SWITCH(TRUE(),\n            c_cpl &lt;= c_vel &amp;&amp; c_cpl &lt;= c_net, "Cost per Lease",\n            c_vel &lt;= c_cpl &amp;&amp; c_vel &lt;= c_net, "Lease Velocity",\n            "Net Absorption"),\n        Worst = P3, IF(c_l2l &lt;= c_cov, "Lead-to-Lease %", "Coverage Ratio"),\n        "—"\n    )\n\n-- Actual current value of the dragging metric\nVAR DragValue =\n    SWITCH(\n        DragMetric,\n        "Occupancy Rate",  FORMAT([Occupancy Rate %], "0.0%"),\n        "Absorption Days", FORMAT([Absorption Days (Est)], "#,0") &amp; " days",\n        "Coverage Ratio",  FORMAT([Coverage Ratio (Next 60D)], "0.00"),\n        "Cost per Lease",  FORMAT(DIVIDE([Marketing Spend], [New Leases (Actual)]), "$#,0"),\n        "Lease Velocity",  FORMAT([Lease Velocity], "0.000"),\n      ... [truncated]</t>
  </si>
  <si>
    <t xml:space="preserve">PHI Insight 3 - Most Improved Pillar</t>
  </si>
  <si>
    <t xml:space="preserve">\nVAR StartDate   = MIN(dim_date[Date])\nVAR EndDate     = MAX(dim_date[Date])\nVAR DaysInRange = DATEDIFF(StartDate, EndDate, DAY) + 1\nVAR PrevStart   = StartDate - DaysInRange\nVAR PrevEnd     = EndDate   - DaysInRange\nVAR D1 =\n    [Portfolio Health - Occupancy] -\n    CALCULATE([Portfolio Health - Occupancy], DATESBETWEEN(dim_date[Date], PrevStart, PrevEnd))\nVAR D2 =\n    [Portfolio Health - Leasing] -\n    CALCULATE([Portfolio Health - Leasing], DATESBETWEEN(dim_date[Date], PrevStart, PrevEnd))\nVAR D3 =\n    [Portfolio Health - Demand] -\n    CALCULATE([Portfolio Health - Demand], DATESBETWEEN(dim_date[Date], PrevStart, PrevEnd))\nVAR Best = MAX(D1, MAX(D2, D3))\n\n-- Pillar 1 components\nVAR c_occ = MIN(MAX(([Occupancy Rate %] - 0.605) / (0.933 - 0.605) * 100, 0), 100)\nVAR c_abs = MIN(MAX((1 - ([Absorption Days (Est)] - 20.56) / (166.2 - 20.56)) * 100, 0), 100)\nVAR c_cov = MIN(MAX(([Coverage Ratio (Next 60D)] - 0.606) / (2.290 - 0.606) * 100, 0), 100)\n\n-- Pillar 2 components\nVAR c_cpl = MIN(MAX((1 - (DIVIDE([Marketing Spend], [New Leases (Actual)]) - 684.9) / (1071.9 - 684.9)) * 100, 0), 100)\nVAR c_vel = MIN(MAX(([Lease Velocity] - 0.0073) / (0.0536 - 0.0073) * 100, 0), 100)\nVAR c_net = MIN(MAX((DIVIDE([Net Absorption], [Total Units], 0) - (-0.8115)) / (0.0483 - (-0.8115)) * 100, 0), 100)\n\n-- Pillar 3 components\nVAR c_l2l = MIN(MAX(([Lead-to-Lease % (Actual)] - 0.1323) / (0.1398 - 0.1323) * 100, 0), 100)\n\n-- Top metric within the most improved pillar\nVAR TopMetric =\n    SWITCH(\n        TRUE(),\n        Best = D1, SWITCH(TRUE(),\n            c_occ &gt;= c_abs &amp;&amp; c_occ &gt;= c_cov, "Occupancy Rate",\n            c_abs &gt;= c_occ &amp;&amp; c_abs &gt;= c_cov, "Absorption Days",\n            "Coverage Ratio"),\n        Best = D2, SWITCH(TRUE(),\n            c_cpl &gt;= c_vel &amp;&amp; c_cpl &gt;= c_net, "Cost per Lease",\n            c_vel &gt;= c_cpl &amp;&amp; c_vel &gt;= c_net, "Lease Velocity",\n            "Net Absorption"),\n        Best = D3, IF(c_l2l &gt;= c_cov, "Lead-to-Lease %", "Co ... [truncated]</t>
  </si>
  <si>
    <t xml:space="preserve">PHI Insight 4 - Sharpest Decline Pillar</t>
  </si>
  <si>
    <t xml:space="preserve">\nVAR StartDate   = MIN(dim_date[Date])\nVAR EndDate     = MAX(dim_date[Date])\nVAR DaysInRange = DATEDIFF(StartDate, EndDate, DAY) + 1\nVAR PrevStart   = StartDate - DaysInRange\nVAR PrevEnd     = EndDate   - DaysInRange\nVAR D1 =\n    [Portfolio Health - Occupancy] -\n    CALCULATE([Portfolio Health - Occupancy], DATESBETWEEN(dim_date[Date], PrevStart, PrevEnd))\nVAR D2 =\n    [Portfolio Health - Leasing] -\n    CALCULATE([Portfolio Health - Leasing], DATESBETWEEN(dim_date[Date], PrevStart, PrevEnd))\nVAR D3 =\n    [Portfolio Health - Demand] -\n    CALCULATE([Portfolio Health - Demand], DATESBETWEEN(dim_date[Date], PrevStart, PrevEnd))\nVAR Worst = MIN(D1, MIN(D2, D3))\n\n-- Pillar 1 components\nVAR c_occ = MIN(MAX(([Occupancy Rate %] - 0.605) / (0.933 - 0.605) * 100, 0), 100)\nVAR c_abs = MIN(MAX((1 - ([Absorption Days (Est)] - 20.56) / (166.2 - 20.56)) * 100, 0), 100)\nVAR c_cov = MIN(MAX(([Coverage Ratio (Next 60D)] - 0.606) / (2.290 - 0.606) * 100, 0), 100)\n\n-- Pillar 2 components\nVAR c_cpl = MIN(MAX((1 - (DIVIDE([Marketing Spend], [New Leases (Actual)]) - 684.9) / (1071.9 - 684.9)) * 100, 0), 100)\nVAR c_vel = MIN(MAX(([Lease Velocity] - 0.0073) / (0.0536 - 0.0073) * 100, 0), 100)\nVAR c_net = MIN(MAX((DIVIDE([Net Absorption], [Total Units], 0) - (-0.8115)) / (0.0483 - (-0.8115)) * 100, 0), 100)\n\n-- Pillar 3 components\nVAR c_l2l = MIN(MAX(([Lead-to-Lease % (Actual)] - 0.1323) / (0.1398 - 0.1323) * 100, 0), 100)\n\n-- Lowest scoring component within the most declined pillar\nVAR WatchMetric =\n    SWITCH(\n        TRUE(),\n        Worst = D1, SWITCH(TRUE(),\n            c_occ &lt;= c_abs &amp;&amp; c_occ &lt;= c_cov, "Occupancy Rate",\n            c_abs &lt;= c_occ &amp;&amp; c_abs &lt;= c_cov, "Absorption Days",\n            "Coverage Ratio"),\n        Worst = D2, SWITCH(TRUE(),\n            c_cpl &lt;= c_vel &amp;&amp; c_cpl &lt;= c_net, "Cost per Lease",\n            c_vel &lt;= c_cpl &amp;&amp; c_vel &lt;= c_net, "Lease Velocity",\n            "Net Absorption"),\n        Worst = D3, IF(c_l2l &lt;= c_cov, "L ... [truncated]</t>
  </si>
  <si>
    <t xml:space="preserve">Portfolio Health Pillar Value</t>
  </si>
  <si>
    <t xml:space="preserve">Generic placeholder that returns the currently selected pillar value (used by tooltips).</t>
  </si>
  <si>
    <t xml:space="preserve">5 - Portfolio Health\5.1 - Components</t>
  </si>
  <si>
    <t xml:space="preserve">\nSWITCH(\n    SELECTEDVALUE('Table Health_Pillars'[Pillar]),\n    "Occupancy Health", [Portfolio Health - Occupancy],\n    "Leasing Efficiency", [Portfolio Health - Leasing],\n    "Demand Conversion", [Portfolio Health - Demand]\n)</t>
  </si>
  <si>
    <t xml:space="preserve">PHI Insight 5 - Coverage Risk Signal</t>
  </si>
  <si>
    <t xml:space="preserve">05 - Portfolio Health\5.2 - KPI</t>
  </si>
  <si>
    <t xml:space="preserve">VAR Coverage = [Coverage Ratio (Next 60D)]\nVAR VacFill  = [Vacancy Fill % (30D)]\nVAR Signal =\n    SWITCH(\n        TRUE(),\n        Coverage &lt; 0.85,\n            "🔴 Coverage Risk: " &amp; FORMAT(Coverage, "0.00") &amp; " — pipeline thin",\n        Coverage &lt; 1.00,\n            "🟡 Coverage Watch: " &amp; FORMAT(Coverage, "0.00") &amp; " — below parity",\n        "🟢 Coverage OK: " &amp; FORMAT(Coverage, "0.00") &amp; " — pipeline healthy"\n    )\nRETURN\nIF(\n    ISBLANK(Coverage), BLANK(),\n    Signal &amp; UNICHAR(10) &amp;\n    "Vacancy Fill: " &amp; FORMAT(VacFill, "0.0%")\n)</t>
  </si>
  <si>
    <t xml:space="preserve">PHI Insight 6 - Velocity Outlook</t>
  </si>
  <si>
    <t xml:space="preserve">VAR StartDate   = MIN(dim_date[Date])\nVAR EndDate     = MAX(dim_date[Date])\nVAR DaysInRange = DATEDIFF(StartDate, EndDate, DAY) + 1\nVAR PrevStart   = StartDate - DaysInRange\nVAR PrevEnd     = EndDate   - DaysInRange\nVAR CurrVel = CALCULATE([Lease Velocity], DATESBETWEEN(dim_date[Date], StartDate, EndDate))\nVAR PrevVel = CALCULATE([Lease Velocity], DATESBETWEEN(dim_date[Date], PrevStart, PrevEnd))\nVAR Delta   = DIVIDE(CurrVel - PrevVel, PrevVel)\nVAR OccRate = [Occupancy Rate %]\nVAR Outlook =\n    SWITCH(\n        TRUE(),\n        Delta &gt;  0.05 &amp;&amp; OccRate &lt;  0.88, "📈 Velocity ▲ · Occ likely to recover",\n        Delta &gt;  0.05 &amp;&amp; OccRate &gt;= 0.88, "📈 Velocity ▲ · Occ holding strong",\n        Delta &lt; -0.05 &amp;&amp; OccRate &gt;= 0.88, "⚡ Velocity ▼ · Monitor occ erosion",\n        Delta &lt; -0.05 &amp;&amp; OccRate &lt;  0.88, "🚨 Velocity ▼ · Occ pressure building",\n        "➡ Velocity stable · No occ signal"\n    )\nRETURN\nIF(\n    ISBLANK(Delta), BLANK(),\n    Outlook &amp; UNICHAR(10) &amp;\n    FORMAT(Delta, "+0.0%;-0.0%") &amp; " velocity vs prior period"\n)</t>
  </si>
  <si>
    <t xml:space="preserve">PHI Insight 7 - Market Signal</t>
  </si>
  <si>
    <t xml:space="preserve">VAR MarketScores =\n    ADDCOLUMNS(\n        VALUES(dim_property[MarketName]),\n        "@PHI",\n        CALCULATE(\n            AVERAGEX(\n                VALUES(dim_property[PropertyKey]),\n                [Portfolio Health Index]\n            )\n        )\n    )\nVAR Filtered = FILTER(MarketScores, NOT ISBLANK([@PHI]))\nVAR TopRow   = TOPN(1, Filtered, [@PHI], DESC)\nVAR BotRow   = TOPN(1, Filtered, [@PHI], ASC)\nVAR TopName  = MAXX(TopRow, dim_property[MarketName])\nVAR TopScore = MAXX(TopRow, [@PHI])\nVAR BotName  = MAXX(BotRow, dim_property[MarketName])\nVAR BotScore = MAXX(BotRow, [@PHI])\nRETURN\nIF(\n    ISBLANK(TopName), BLANK(),\n    "🏆 " &amp; TopName &amp; " " &amp; FORMAT(TopScore, "0.0") &amp; UNICHAR(10) &amp;\n    "⚠ " &amp; BotName &amp; " " &amp; FORMAT(BotScore, "0.0")\n)</t>
  </si>
  <si>
    <t xml:space="preserve">PHI Insight 8 - Vendor Signal</t>
  </si>
  <si>
    <t xml:space="preserve">VAR VendorScores =\n    ADDCOLUMNS(\n        VALUES(dim_vendor[VendorName]),\n        "@PHI",\n        CALCULATE(\n            AVERAGEX(\n                VALUES(dim_property[PropertyKey]),\n                CALCULATE([Portfolio Health Index])\n            )\n        ),\n        "@Spend",\n        CALCULATE([Marketing Spend])\n    )\nVAR Filtered  = FILTER(VendorScores, NOT ISBLANK([@PHI]) &amp;&amp; [@Spend] &gt; 0)\nVAR TopRow    = TOPN(1, Filtered, [@PHI], DESC)\nVAR BotRow    = TOPN(1, Filtered, [@PHI], ASC)\nVAR TopName   = MAXX(TopRow, dim_vendor[VendorName])\nVAR TopScore  = MAXX(TopRow, [@PHI])\nVAR BotName   = MAXX(BotRow, dim_vendor[VendorName])\nVAR BotScore  = MAXX(BotRow, [@PHI])\nRETURN\nIF(\n    ISBLANK(TopName), BLANK(),\n    "🏆 " &amp; TopName &amp; " " &amp; FORMAT(TopScore, "0.0") &amp; UNICHAR(10) &amp;\n    "⚠ " &amp; BotName &amp; " " &amp; FORMAT(BotScore, "0.0")\n)</t>
  </si>
  <si>
    <t xml:space="preserve">Portfolio Health (Stars)</t>
  </si>
  <si>
    <t xml:space="preserve">Star-rating helper that converts the PHI score into a 1–5 star visual.</t>
  </si>
  <si>
    <t xml:space="preserve">\nVAR Score =\n    AVERAGEX(\n        VALUES(dim_property[PropertyKey]),\n        [Portfolio Health Index]\n    )\nRETURN\nIF(\n    ISBLANK(Score),\n    BLANK(),\n    SWITCH(\n        TRUE(),\n        Score &gt;= 90, FORMAT(Score, "0.0") &amp; "  ★★★★★",\n        Score &gt;= 74, FORMAT(Score, "0.0") &amp; "  ★★★★☆",\n        Score &gt;= 58, FORMAT(Score, "0.0") &amp; "  ★★★☆☆",\n        Score &gt;= 43, FORMAT(Score, "0.0") &amp; "  ★★☆☆☆",\n        FORMAT(Score, "0.0") &amp; "  ★☆☆☆☆"\n    )\n)</t>
  </si>
  <si>
    <t xml:space="preserve">Portfolio Health - Demand</t>
  </si>
  <si>
    <t xml:space="preserve">Portfolio Health pillar: Demand — contributes to the PHI composite score.</t>
  </si>
  <si>
    <t xml:space="preserve">\nVAR L2L = [Lead-to-Lease % (Actual)]\nVAR Coverage = [Coverage Ratio (Next 60D)]\nVAR p3_l2l =\n    MIN(MAX((L2L - 0.1323) / (0.1398 - 0.1323) * 100, 0), 100)\n\nVAR p3_cov =\n    MIN(MAX((Coverage - 0.606) / (2.290 - 0.606) * 100, 0), 100)\n\nVAR Pillar3 =\n    p3_l2l * 0.60 +\n    p3_cov * 0.40\n\nRETURN\nIF(\n    ISBLANK(L2L) || ISBLANK(Coverage),\n    BLANK(),\n    Pillar3\n)</t>
  </si>
  <si>
    <t xml:space="preserve">Portfolio Health - Leasing</t>
  </si>
  <si>
    <t xml:space="preserve">Portfolio Health pillar: Leasing — contributes to the PHI composite score.</t>
  </si>
  <si>
    <t xml:space="preserve">\nVAR CPL = DIVIDE([Marketing Spend], [New Leases (Actual)])\nVAR Velocity = [Lease Velocity]\nVAR NetAbs = DIVIDE([Net Absorption], [Total Units], 0)\n\nVAR p2_cpl =\n    MIN(MAX((1 - (CPL - 684.9) / (1071.9 - 684.9)) * 100, 0), 100)\n\nVAR p2_vel =\n    MIN(MAX((Velocity - 0.0073) / (0.0536 - 0.0073) * 100, 0), 100)\n\nVAR p2_net =\n    MIN(MAX((NetAbs - (-0.8115)) / (0.0483 - (-0.8115)) * 100, 0), 100)\n\nVAR Pillar2 =\n    p2_cpl * 0.45 +\n    p2_vel * 0.35 +\n    p2_net * 0.20\n\nRETURN\nIF(\n    ISBLANK(CPL) || ISBLANK(Velocity) || ISBLANK(NetAbs),\n    BLANK(),\n    Pillar2\n)</t>
  </si>
  <si>
    <t xml:space="preserve">Portfolio Health - Occupancy</t>
  </si>
  <si>
    <t xml:space="preserve">Portfolio Health pillar: Occupancy — contributes to the PHI composite score.</t>
  </si>
  <si>
    <t xml:space="preserve">\nVAR OccRate = [Occupancy Rate %]\nVAR AbsDays = [Absorption Days (Est)]\nVAR Coverage = [Coverage Ratio (Next 60D)]\nVAR p1_occ =\n    MIN(MAX((OccRate - 0.605) / (0.933 - 0.605) * 100, 0), 100)\n\nVAR p1_abs =\n    MIN(MAX((1 - (AbsDays - 20.56) / (166.2 - 20.56)) * 100, 0), 100)\n\nVAR p1_cov =\n    MIN(MAX((Coverage - 0.606) / (2.290 - 0.606) * 100, 0), 100)\n\nVAR Pillar1 =\n    p1_occ * 0.45 +\n    p1_abs * 0.35 +\n    p1_cov * 0.20\n\nRETURN\nIF(\n    ISBLANK(OccRate) || ISBLANK(AbsDays) || ISBLANK(Coverage),\n    BLANK(),\n    Pillar1\n)</t>
  </si>
  <si>
    <t xml:space="preserve">Portfolio Health Index</t>
  </si>
  <si>
    <t xml:space="preserve">Composite Portfolio Health Index (0–100): weighted blend of occupancy, leasing and demand pillars across the portfolio.</t>
  </si>
  <si>
    <t xml:space="preserve">\n\n-- ── P2/P98 RANGES (calibrated to actual data) ─────────────────────\n-- Pillar 1 — Occupancy Health (35%)\nVAR OccRate = [Occupancy Rate %]\nVAR AbsDays = [Absorption Days (Est)]\nVAR Coverage = [Coverage Ratio (Next 60D)]\n\nVAR p1_occ = MIN(MAX((OccRate  - 0.605) / (0.933  - 0.605) * 100, 0), 100)\nVAR p1_abs = MIN(MAX((1 - (AbsDays  - 20.56) / (166.2 - 20.56)) * 100, 0), 100)\nVAR p1_cov = MIN(MAX((Coverage - 0.606) / (2.290  - 0.606) * 100, 0), 100)\n\nVAR Pillar1 = p1_occ * 0.45 + p1_abs * 0.35 + p1_cov * 0.20\n\n-- Pillar 2 — Leasing Efficiency (35%)\nVAR CPL      = DIVIDE([Marketing Spend], [New Leases (Actual)])\nVAR Velocity = [Lease Velocity]\nVAR NetAbs   = DIVIDE([Net Absorption], [Total Units], 0)\n\nVAR p2_cpl = MIN(MAX((1 - (CPL     - 684.9)  / (1071.9 - 684.9))  * 100, 0), 100)\nVAR p2_vel = MIN(MAX((Velocity - 0.0073) / (0.0536 - 0.0073) * 100, 0), 100)\nVAR p2_net = MIN(MAX((NetAbs   - (-0.8115)) / (0.0483 - (-0.8115)) * 100, 0), 100)\n\nVAR Pillar2 = p2_cpl * 0.45 + p2_vel * 0.35 + p2_net * 0.20\n\n-- Pillar 3 — Demand Conversion (30%)\nVAR L2L = [Lead-to-Lease % (Actual)]\n\nVAR p3_l2l = MIN(MAX((L2L      - 0.1323) / (0.1398 - 0.1323) * 100, 0), 100)\nVAR p3_cov = MIN(MAX((Coverage - 0.606)  / (2.290  - 0.606)  * 100, 0), 100)\n\nVAR Pillar3 = p3_l2l * 0.60 + p3_cov * 0.40\n\n-- ── COMPOSITE ─────────────────────────────────────────────────────\nVAR PHI = Pillar1 * 0.35 + Pillar2 * 0.35 + Pillar3 * 0.30\n\nRETURN\nIF(\n    ISBLANK(OccRate) || ISBLANK(CPL) || ISBLANK(L2L),\n    BLANK(),\n    PHI\n)</t>
  </si>
  <si>
    <t xml:space="preserve">Portfolio Health Index (Portfolio)</t>
  </si>
  <si>
    <t xml:space="preserve">\nAVERAGEX(\n    VALUES(dim_property[PropertyKey]),\n    [Portfolio Health Index]\n)</t>
  </si>
  <si>
    <t xml:space="preserve">Property Count Matrix</t>
  </si>
  <si>
    <t xml:space="preserve">Property counter used in PHI matrix visuals.</t>
  </si>
  <si>
    <t xml:space="preserve">5 - Portfolio Health\5.2 - KPI</t>
  </si>
  <si>
    <t xml:space="preserve">\nVAR SelectedRegion = SELECTEDVALUE(Portfolio_Matrix_Structure[Region])\nVAR SelectedStatus = SELECTEDVALUE(Portfolio_Matrix_Structure[Performance Status])\n\nVAR Result = \n    CALCULATE(\n        COUNTROWS(dim_property),\n        FILTER(\n            ALL(dim_property),\n            VAR PropertyRegion = dim_property[Geo Level Selected]  // Or whatever your region column is called\n            VAR PropertyScore = [Operations Index Score]\n            \n            // Check if region matches\n            VAR RegionMatch = PropertyRegion = SelectedRegion\n            \n            // Check if status matches\n            VAR StatusMatch = \n                SWITCH(\n                    SelectedStatus,\n                    "Excellent", PropertyScore &gt;= 85,\n                    "Fine", PropertyScore &gt;= 65 &amp;&amp; PropertyScore &lt; 85,\n                    "Bad", PropertyScore &lt; 65,\n                    FALSE()\n                )\n            \n            RETURN RegionMatch &amp;&amp; StatusMatch\n        )\n    )\n\nRETURN Result</t>
  </si>
  <si>
    <t xml:space="preserve">Portfolio Health Bar Color</t>
  </si>
  <si>
    <t xml:space="preserve">Conditional color for PHI bar visuals (green/amber/red based on score bands).</t>
  </si>
  <si>
    <t xml:space="preserve">05 - Portfolio Health\5.3 - Score\5.3.3 - Color &amp; Formatting</t>
  </si>
  <si>
    <t xml:space="preserve">\nVAR Score = [Portfolio Health Pillar Value]\nRETURN\nSWITCH(\n    TRUE(),\n    ISBLANK(Score), "#808080",\n    Score &gt;= 85, "#EEDFAF",\n    Score &gt;= 70, "#D6C27A",\n    Score &gt;= 55, "#B89C4D",\n    "#8A6F2A"\n)</t>
  </si>
  <si>
    <t xml:space="preserve">Geographic Performance Index — two-pillar composite score at property/market/region grain.</t>
  </si>
  <si>
    <t xml:space="preserve">Pillar 1 (Absolute): Cost per Lease %, Cost per Lead %, SLA %, Vacancy Fill %, Sell Rate %, Vacant Ready %.</t>
  </si>
  <si>
    <t xml:space="preserve">Pillar 2 (Trend): scaled change metrics — Cost per Lease, Cost per Lead, Net Absorption, Lease Velocity.</t>
  </si>
  <si>
    <t xml:space="preserve">Structure: 6.1 Components → 6.2 KPIs → 6.3.1 Final Score (with ranks at property/market/region) → 6.3.2 Tiers → 6.3.3 Colors → 6.3.4 Stars → 6.4 Helpers.</t>
  </si>
  <si>
    <t xml:space="preserve">GPI P1 - Cost per Lead %</t>
  </si>
  <si>
    <t xml:space="preserve">GPI Pillar component (Absolute Performance) — contributes to the GPI composite score.</t>
  </si>
  <si>
    <t xml:space="preserve">06 - GPI\6.1 - Components</t>
  </si>
  <si>
    <t xml:space="preserve">VAR CurrVal = [Cost per Lead (Vendor)]\n\n-- Property grain\nVAR PropertyCount =\n    CALCULATE(\n        DISTINCTCOUNT(dim_property[PropertyKey]),\n        ALLSELECTED(dim_property[PropertyKey])\n    )\nVAR PropertyRank =\n    RANKX(\n        ALLSELECTED(dim_property[PropertyKey]),\n        CALCULATE([Cost per Lead (Vendor)], ALLSELECTED(dim_date)),\n        CurrVal, ASC, DENSE\n    )\n\n-- Market grain\nVAR MarketCount =\n    CALCULATE(\n        DISTINCTCOUNT(dim_market[MarketKey]),\n        ALLSELECTED(dim_market)\n    )\nVAR MarketRank =\n    RANKX(\n        ALLSELECTED(dim_market),\n        CALCULATE([Cost per Lead (Vendor)], ALLSELECTED(dim_date)),\n        CurrVal, ASC, DENSE\n    )\n\n-- Region grain\nVAR RegionCount =\n    CALCULATE(\n        DISTINCTCOUNT(dim_region[RegionKey]),\n        ALLSELECTED(dim_region)\n    )\nVAR RegionRank =\n    RANKX(\n        ALLSELECTED(dim_region),\n        CALCULATE([Cost per Lead (Vendor)], ALLSELECTED(dim_date)),\n        CurrVal, ASC,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</si>
  <si>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P1 - Cost per Lease %</t>
  </si>
  <si>
    <t xml:space="preserve">VAR CurrVal = [Cost per Lease (Actual)]\n\n-- Property grain\nVAR PropertyCount =\n    CALCULATE(\n        DISTINCTCOUNT(dim_property[PropertyKey]),\n        ALLSELECTED(dim_property[PropertyKey])\n    )\nVAR PropertyRank =\n    RANKX(\n        ALLSELECTED(dim_property[PropertyKey]),\n        CALCULATE([Cost per Lease (Actual)], ALLSELECTED(dim_date)),\n        CurrVal, ASC, DENSE\n    )\n\n-- Market grain\nVAR MarketCount =\n    CALCULATE(\n        DISTINCTCOUNT(dim_market[MarketKey]),\n        ALLSELECTED(dim_market)\n    )\nVAR MarketRank =\n    RANKX(\n        ALLSELECTED(dim_market),\n        CALCULATE([Cost per Lease (Actual)], ALLSELECTED(dim_date)),\n        CurrVal, ASC, DENSE\n    )\n\n-- Region grain\nVAR RegionCount =\n    CALCULATE(\n        DISTINCTCOUNT(dim_region[RegionKey]),\n        ALLSELECTED(dim_region)\n    )\nVAR RegionRank =\n    RANKX(\n        ALLSELECTED(dim_region),\n        CALCULATE([Cost per Lease (Actual)], ALLSELECTED(dim_date)),\n        CurrVal, ASC,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</si>
  <si>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P1 - Sell Rate %</t>
  </si>
  <si>
    <t xml:space="preserve">VAR CurrVal = [Sell Rate]\n\n-- Property grain\nVAR PropertyCount =\n    CALCULATE(\n        DISTINCTCOUNT(dim_property[PropertyKey]),\n        ALLSELECTED(dim_property[PropertyKey])\n    )\nVAR PropertyRank =\n    RANKX(\n        ALLSELECTED(dim_property[PropertyKey]),\n        CALCULATE([Sell Rate], ALLSELECTED(dim_date)),\n        CurrVal, DESC, DENSE\n    )\n\n-- Market grain\nVAR MarketCount =\n    CALCULATE(\n        DISTINCTCOUNT(dim_market[MarketKey]),\n        ALLSELECTED(dim_market)\n    )\nVAR MarketRank =\n    RANKX(\n        ALLSELECTED(dim_market),\n        CALCULATE([Sell Rate], ALLSELECTED(dim_date)),\n        CurrVal, DESC, DENSE\n    )\n\n-- Region grain\nVAR RegionCount =\n    CALCULATE(\n        DISTINCTCOUNT(dim_region[RegionKey]),\n        ALLSELECTED(dim_region)\n    )\nVAR RegionRank =\n    RANKX(\n        ALLSELECTED(dim_region),\n        CALCULATE([Sell Rate], ALLSELECTED(dim_date)),\n        CurrVal, DESC,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</si>
  <si>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P1 - SLA %</t>
  </si>
  <si>
    <t xml:space="preserve">VAR CurrVal = [Properties Within SLA %]\n\n-- Property grain\nVAR PropertyCount =\n    CALCULATE(\n        DISTINCTCOUNT(dim_property[PropertyKey]),\n        ALLSELECTED(dim_property[PropertyKey])\n    )\nVAR PropertyRank =\n    RANKX(\n        ALLSELECTED(dim_property[PropertyKey]),\n        CALCULATE([Properties Within SLA %], ALLSELECTED(dim_date)),\n        CurrVal, DESC, DENSE\n    )\n\n-- Market grain\nVAR MarketCount =\n    CALCULATE(\n        DISTINCTCOUNT(dim_market[MarketKey]),\n        ALLSELECTED(dim_market)\n    )\nVAR MarketRank =\n    RANKX(\n        ALLSELECTED(dim_market),\n        CALCULATE([Properties Within SLA %], ALLSELECTED(dim_date)),\n        CurrVal, DESC, DENSE\n    )\n\n-- Region grain\nVAR RegionCount =\n    CALCULATE(\n        DISTINCTCOUNT(dim_region[RegionKey]),\n        ALLSELECTED(dim_region)\n    )\nVAR RegionRank =\n    RANKX(\n        ALLSELECTED(dim_region),\n        CALCULATE([Properties Within SLA %], ALLSELECTED(dim_date)),\n        CurrVal, DESC,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</si>
  <si>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P1 - Vacant Ready %</t>
  </si>
  <si>
    <t xml:space="preserve">VAR CurrVal = [Vacant Ready %]\n\n-- Property grain\nVAR PropertyCount =\n    CALCULATE(\n        DISTINCTCOUNT(dim_property[PropertyKey]),\n        ALLSELECTED(dim_property[PropertyKey])\n    )\nVAR PropertyRank =\n    RANKX(\n        ALLSELECTED(dim_property[PropertyKey]),\n        CALCULATE([Vacant Ready %], ALLSELECTED(dim_date)),\n        CurrVal, ASC, DENSE\n    )\n\n-- Market grain\nVAR MarketCount =\n    CALCULATE(\n        DISTINCTCOUNT(dim_market[MarketKey]),\n        ALLSELECTED(dim_market)\n    )\nVAR MarketRank =\n    RANKX(\n        ALLSELECTED(dim_market),\n        CALCULATE([Vacant Ready %], ALLSELECTED(dim_date)),\n        CurrVal, ASC, DENSE\n    )\n\n-- Region grain\nVAR RegionCount =\n    CALCULATE(\n        DISTINCTCOUNT(dim_region[RegionKey]),\n        ALLSELECTED(dim_region)\n    )\nVAR RegionRank =\n    RANKX(\n        ALLSELECTED(dim_region),\n        CALCULATE([Vacant Ready %], ALLSELECTED(dim_date)),\n        CurrVal, ASC,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</si>
  <si>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P2 - Cost per Lead (Scaled)</t>
  </si>
  <si>
    <t xml:space="preserve">GPI Pillar component (Trend / Change) — contributes to the GPI composite score.</t>
  </si>
  <si>
    <t xml:space="preserve">\nVAR _sStart   = [_GPI_ScoringStart]\nVAR _sEnd     = [_GPI_ScoringEnd]\nVAR _pStart   = [_GPI_PriorStart]\nVAR _pEnd     = [_GPI_PriorEnd]\nVAR CurrVal   = CALCULATE([Cost per Lead (Vendor)], DATESBETWEEN(dim_date[Date], _sStart, _sEnd))\nVAR Prior     = CALCULATE([Cost per Lead (Vendor)], DATESBETWEEN(dim_date[Date], _pStart, _pEnd))\nVAR PctChange = DIVIDE(CurrVal - Prior, Prior)\nVAR Inverted  = PctChange * -1\nVAR Capped    = MAX(-0.15, MIN(0.15, Inverted))\nVAR Scaled    = (Capped + 0.15) / 0.30\nRETURN\nIF(ISBLANK(Prior) || Prior = 0 || ISBLANK(CurrVal), BLANK(), Scaled)</t>
  </si>
  <si>
    <t xml:space="preserve">GPI P2 - Cost per Lease (Scaled)</t>
  </si>
  <si>
    <t xml:space="preserve">\nVAR _sStart   = [_GPI_ScoringStart]\nVAR _sEnd     = [_GPI_ScoringEnd]\nVAR _pStart   = [_GPI_PriorStart]\nVAR _pEnd     = [_GPI_PriorEnd]\nVAR CurrVal   = CALCULATE([Cost per Lease (Actual)], DATESBETWEEN(dim_date[Date], _sStart, _sEnd))\nVAR Prior     = CALCULATE([Cost per Lease (Actual)], DATESBETWEEN(dim_date[Date], _pStart, _pEnd))\nVAR PctChange = DIVIDE(CurrVal - Prior, Prior)\nVAR Inverted  = PctChange * -1\nVAR Capped    = MAX(-0.15, MIN(0.15, Inverted))\nVAR Scaled    = (Capped + 0.15) / 0.30\nRETURN\nIF(ISBLANK(Prior) || Prior = 0 || ISBLANK(CurrVal), BLANK(), Scaled)</t>
  </si>
  <si>
    <t xml:space="preserve">GPI P2 - Lease Velocity (Scaled)</t>
  </si>
  <si>
    <t xml:space="preserve">\nVAR _sStart   = [_GPI_ScoringStart]\nVAR _sEnd     = [_GPI_ScoringEnd]\nVAR _pStart   = [_GPI_PriorStart]\nVAR _pEnd     = [_GPI_PriorEnd]\nVAR CurrVal   = CALCULATE([Lease Velocity], DATESBETWEEN(dim_date[Date], _sStart, _sEnd))\nVAR Prior     = CALCULATE([Lease Velocity], DATESBETWEEN(dim_date[Date], _pStart, _pEnd))\nVAR PctChange = DIVIDE(CurrVal - Prior, Prior)\nVAR Capped    = MAX(-0.15, MIN(0.15, PctChange))\nVAR Scaled    = (Capped + 0.15) / 0.30\nRETURN\nIF(ISBLANK(Prior) || Prior = 0 || ISBLANK(CurrVal), BLANK(), Scaled)</t>
  </si>
  <si>
    <t xml:space="preserve">GPI P2 - Net Absorption (Scaled)</t>
  </si>
  <si>
    <t xml:space="preserve">\nVAR _sStart   = [_GPI_ScoringStart]\nVAR _sEnd     = [_GPI_ScoringEnd]\nVAR _pStart   = [_GPI_PriorStart]\nVAR _pEnd     = [_GPI_PriorEnd]\nVAR CurrVal   = CALCULATE([Net Absorption], DATESBETWEEN(dim_date[Date], _sStart, _sEnd))\nVAR Prior     = CALCULATE([Net Absorption], DATESBETWEEN(dim_date[Date], _pStart, _pEnd))\nVAR PctChange = DIVIDE(CurrVal - Prior, Prior)\nVAR Capped    = MAX(-0.15, MIN(0.15, PctChange))\nVAR Scaled    = (Capped + 0.15) / 0.30\nRETURN\nIF(ISBLANK(Prior) || Prior = 0 || ISBLANK(CurrVal), BLANK(), Scaled)</t>
  </si>
  <si>
    <t xml:space="preserve">GPI P2 - New Leases (Scaled)</t>
  </si>
  <si>
    <t xml:space="preserve">\nVAR _sStart   = [_GPI_ScoringStart]\nVAR _sEnd     = [_GPI_ScoringEnd]\nVAR _pStart   = [_GPI_PriorStart]\nVAR _pEnd     = [_GPI_PriorEnd]\nVAR CurrVal   = CALCULATE([New Leases (Funnel)], DATESBETWEEN(dim_date[Date], _sStart, _sEnd))\nVAR Prior     = CALCULATE([New Leases (Funnel)], DATESBETWEEN(dim_date[Date], _pStart, _pEnd))\nVAR PctChange = DIVIDE(CurrVal - Prior, Prior)\nVAR Capped    = MAX(-0.15, MIN(0.15, PctChange))\nVAR Scaled    = (Capped + 0.15) / 0.30\nRETURN\nIF(ISBLANK(Prior) || Prior = 0 || ISBLANK(CurrVal), BLANK(), Scaled)</t>
  </si>
  <si>
    <t xml:space="preserve">GPI P2 - Scatter Absolute</t>
  </si>
  <si>
    <t xml:space="preserve">\nVAR CurrCPL      = [Cost per Lease (Actual)]\nVAR CurrCPLead   = [Cost per Lead (Actual)]\nVAR CurrSLA      = [Properties Within SLA %]\nVAR CurrVF       = [Vacancy Fill % (30D)]\nVAR CurrSR       = [Sell Rate]\nVAR CurrVR       = [Vacant Ready %]\n\nVAR TotalProps = CALCULATE(DISTINCTCOUNT(dim_property[PropertyKey]), ALL(dim_property))\n\nVAR RnkCPL    = DIVIDE(TotalProps - RANKX(ALL(dim_property[PropertyKey]), CALCULATE([Cost per Lease (Actual)]),      CurrCPL,  ASC,  DENSE), TotalProps - 1)\nVAR RnkCPLead = DIVIDE(TotalProps - RANKX(ALL(dim_property[PropertyKey]), CALCULATE([Cost per Lead (Actual)]), CurrCPLead, ASC, DENSE), TotalProps - 1)\nVAR RnkSLA    = DIVIDE(TotalProps - RANKX(ALL(dim_property[PropertyKey]), CALCULATE([Properties Within SLA %]), CurrSLA, DESC, DENSE), TotalProps - 1)\nVAR RnkVF     = DIVIDE(TotalProps - RANKX(ALL(dim_property[PropertyKey]), CALCULATE([Vacancy Fill % (30D)]), CurrVF,  DESC, DENSE), TotalProps - 1)\nVAR RnkSR     = DIVIDE(TotalProps - RANKX(ALL(dim_property[PropertyKey]), CALCULATE([Sell Rate]),            CurrSR,  DESC, DENSE), TotalProps - 1)\nVAR RnkVR     = DIVIDE(TotalProps - RANKX(ALL(dim_property[PropertyKey]), CALCULATE([Vacant Ready %]), CurrVR,  ASC,  DENSE), TotalProps - 1)\n\nRETURN\n(RnkCPL * 12) + (RnkCPLead * 10) + (RnkSLA * 8) + (RnkVF * 8) + (RnkSR * 7) + (RnkVR * 5)</t>
  </si>
  <si>
    <t xml:space="preserve">GPI Pillar 1 (Absolute)</t>
  </si>
  <si>
    <t xml:space="preserve">GPI Pillar 1 roll-up — absolute performance across cost, SLA, vacancy fill, sell rate, ready units.</t>
  </si>
  <si>
    <t xml:space="preserve">// Weights normalized to sum to 100: 24+20+16+16+14+10 = 100\nVAR p1 = [GPI P1 - Cost per Lease %]\nVAR p2 = [GPI P1 - Cost per Lead %]\nVAR p3 = [GPI P1 - SLA %]\nVAR p4 = [GPI P1 - Vacancy Fill %]\nVAR p5 = [GPI P1 - Sell Rate %]\nVAR p6 = [GPI P1 - Vacant Ready %]\nVAR ValidCount =\n    IF(NOT ISBLANK(p1), 1, 0) + IF(NOT ISBLANK(p2), 1, 0) +\n    IF(NOT ISBLANK(p3), 1, 0) + IF(NOT ISBLANK(p4), 1, 0) +\n    IF(NOT ISBLANK(p5), 1, 0) + IF(NOT ISBLANK(p6), 1, 0)\nVAR TotalWeight =\n    IF(NOT ISBLANK(p1), 24, 0) + IF(NOT ISBLANK(p2), 20, 0) +\n    IF(NOT ISBLANK(p3), 16, 0) + IF(NOT ISBLANK(p4), 16, 0) +\n    IF(NOT ISBLANK(p5), 14, 0) + IF(NOT ISBLANK(p6), 10, 0)\nRETURN\nIF(\n    ValidCount = 0 || TotalWeight = 0, BLANK(),\n    DIVIDE(\n        IF(ISBLANK(p1), 0, p1 * 24) + IF(ISBLANK(p2), 0, p2 * 20) +\n        IF(ISBLANK(p3), 0, p3 * 16) + IF(ISBLANK(p4), 0, p4 * 16) +\n        IF(ISBLANK(p5), 0, p5 * 14) + IF(ISBLANK(p6), 0, p6 * 10),\n        TotalWeight\n    ) * 100\n)</t>
  </si>
  <si>
    <t xml:space="preserve">GPI Pillar 2 (Trend)</t>
  </si>
  <si>
    <t xml:space="preserve">GPI Pillar 2 roll-up — scaled trend / change components (CPL, CPLease, absorption, velocity).</t>
  </si>
  <si>
    <t xml:space="preserve">\n\n// ── Inner property-level score helper ────────────────────────────────────────\n// Used by the AVERAGEX rollup at market/region grain.\n// At property grain, evaluated directly.\n\nVAR _CalcScore =\n    VAR t1 = [GPI P2 - New Leases (Scaled)]\n    VAR t2 = [GPI P2 - Cost per Lease (Scaled)]\n    VAR t3 = [GPI P2 - Cost per Lead (Scaled)]\n    VAR t4 = [GPI P2 - Net Absorption (Scaled)]\n    VAR t5 = [GPI P2 - Lease Velocity (Scaled)]\n    VAR ValidCount =\n        IF(NOT ISBLANK(t1), 1, 0) + IF(NOT ISBLANK(t2), 1, 0) +\n        IF(NOT ISBLANK(t3), 1, 0) + IF(NOT ISBLANK(t4), 1, 0) +\n        IF(NOT ISBLANK(t5), 1, 0)\n    VAR TotalWeight =\n        IF(NOT ISBLANK(t1), 24, 0) + IF(NOT ISBLANK(t2), 20, 0) +\n        IF(NOT ISBLANK(t3), 20, 0) + IF(NOT ISBLANK(t4), 20, 0) +\n        IF(NOT ISBLANK(t5), 16, 0)\n    RETURN\n    IF(\n        ValidCount = 0 || TotalWeight = 0, BLANK(),\n        DIVIDE(\n            IF(ISBLANK(t1), 0, t1 * 24) + IF(ISBLANK(t2), 0, t2 * 20) +\n            IF(ISBLANK(t3), 0, t3 * 20) + IF(ISBLANK(t4), 0, t4 * 20) +\n            IF(ISBLANK(t5), 0, t5 * 16),\n            TotalWeight\n        ) * 100\n    )\n\nRETURN\nSWITCH(\n    TRUE(),\n\n    // ── Property row: evaluate directly ──────────────────────────────────────\n    ISINSCOPE(dim_property[PropertyKey]),\n        _CalcScore,\n\n    // ── Market row: average property-level scores within this market ──────────\n    ISINSCOPE(dim_market[MarketName]),\n        AVERAGEX(\n            VALUES(dim_property[PropertyKey]),\n            VAR t1 = [GPI P2 - New Leases (Scaled)]\n            VAR t2 = [GPI P2 - Cost per Lease (Scaled)]\n            VAR t3 = [GPI P2 - Cost per Lead (Scaled)]\n            VAR t4 = [GPI P2 - Net Absorption (Scaled)]\n            VAR t5 = [GPI P2 - Lease Velocity (Scaled)]\n            VAR ValidCount =\n                IF(NOT ISBLANK(t1), 1, 0) + IF(NOT ISBLANK(t2), 1, 0) +\n                IF(NOT ISBLANK(t3), 1, 0) + IF(NOT ISBLANK(t4), 1, 0) +\n                IF( ... [truncated]</t>
  </si>
  <si>
    <t xml:space="preserve">GPI Pillar Balance</t>
  </si>
  <si>
    <t xml:space="preserve">Index component contributing to a composite score.</t>
  </si>
  <si>
    <t xml:space="preserve">VAR P1 = [GPI Pillar 1 (Absolute)]\nVAR P2 = [GPI Pillar 2 (Trend)]\nRETURN\nSWITCH(\n    TRUE(),\n    ISBLANK(P1) || ISBLANK(P2), BLANK(),\n    P1 &gt; P2 + 5, "Absolute-Led",\n    P2 &gt; P1 + 5, "Momentum-Led",\n    "Balanced"\n)</t>
  </si>
  <si>
    <t xml:space="preserve">Callout - Highest GPI</t>
  </si>
  <si>
    <t xml:space="preserve">06 - GPI\6.2 - KPI</t>
  </si>
  <si>
    <t xml:space="preserve">\nVAR TopMarket =\n    TOPN(\n        1,\n        VALUES(dim_property[MarketName]),\n        CALCULATE([GPI Score]),\n        DESC\n    )\nVAR MarketName = MAXX(TopMarket, dim_property[MarketName])\nVAR Score      = MAXX(TopMarket, CALCULATE([GPI Score]))\nRETURN\nIF(\n    ISBLANK(MarketName), BLANK(),\n    "🔥 " &amp; MarketName &amp;\n    "-" &amp; FORMAT(Score, "0.0")\n)</t>
  </si>
  <si>
    <t xml:space="preserve">GPI Bottom Measurement</t>
  </si>
  <si>
    <t xml:space="preserve">\nIF(\n    HASONEVALUE(dim_property[PropertyKey]),\n    VAR _CPL         = DIVIDE([Cost per Lead (Actual)], CALCULATE(AVERAGEX(ALL(dim_property), [Cost per Lead (Actual)])))\n    VAR _CPLease     = DIVIDE([Cost per Lease (Actual)], CALCULATE(AVERAGEX(ALL(dim_property), [Cost per Lease (Actual)])))\n    VAR _SellRate    = DIVIDE([Sell Rate], CALCULATE(AVERAGEX(ALL(dim_property), [Sell Rate])))\n    VAR _VacFill     = DIVIDE([Vacancy Fill % (30D)], CALCULATE(AVERAGEX(ALL(dim_property), [Vacancy Fill % (30D)])))\n    VAR _VacReady    = DIVIDE([Vacant Ready %], CALCULATE(AVERAGEX(ALL(dim_property), [Vacant Ready %])))\n    VAR _CPLTrend    = [GPI P2 - Cost per Lead (Scaled)]\n    VAR _CPLTrend2   = [GPI P2 - Cost per Lease (Scaled)]\n    VAR _LeaseVel    = [GPI P2 - Lease Velocity (Scaled)]\n    VAR _NetAbs      = [GPI P2 - Net Absorption (Scaled)]\n    VAR _NewLease    = [GPI P2 - New Leases (Scaled)]\n\n    VAR _CPL_Score    = DIVIDE(1, _CPL)\n    VAR _CPLease_Score = DIVIDE(1, _CPLease)\n\n    VAR _scores =\n        UNION(\n            ROW("Label", "Cost per Lead",        "Score", _CPL_Score),\n            ROW("Label", "Cost per Lease",        "Score", _CPLease_Score),\n            ROW("Label", "Sell Rate",             "Score", _SellRate),\n            ROW("Label", "Vacancy Fill",          "Score", _VacFill),\n            ROW("Label", "Vacant Ready",          "Score", _VacReady),\n            ROW("Label", "CPL Trend",             "Score", _CPLTrend),\n            ROW("Label", "CPL Lease Trend",       "Score", _CPLTrend2),\n            ROW("Label", "Lease Velocity Trend",  "Score", _LeaseVel),\n            ROW("Label", "Net Absorption Trend",  "Score", _NetAbs),\n            ROW("Label", "New Leases Trend",      "Score", _NewLease)\n        )\n    VAR _bottom =\n        MINX(\n            FILTER(_scores, NOT ISBLANK([Score])),\n            [Score]\n        )\n    VAR _label =\n        MAXX(\n            FILTER(_scores, [Score] = _bottom),\n            [Label]\n        ... [truncated]</t>
  </si>
  <si>
    <t xml:space="preserve">GPI Bubble Size</t>
  </si>
  <si>
    <t xml:space="preserve">\nVAR ScoreVal = [GPI Score]\nRETURN\nIF(\n    ISBLANK(ScoreVal),\n    BLANK(),\n    SWITCH(\n        TRUE(),\n        ScoreVal &gt;= 80, ScoreVal * 9,\n        ScoreVal &gt;= 65, ScoreVal * 4,\n        ScoreVal &gt;= 50, ScoreVal * 2,\n        ScoreVal &gt;= 35, ScoreVal * 1,\n        ScoreVal * 0.5\n    )\n)</t>
  </si>
  <si>
    <t xml:space="preserve">GPI Region Bottom Property</t>
  </si>
  <si>
    <t xml:space="preserve">\nVAR RegionKey = SELECTEDVALUE(dim_property[RegionKey])\nVAR ScoreTable =\n    ADDCOLUMNS(\n        FILTER(ALL(dim_property), dim_property[RegionKey] = RegionKey),\n        "@Score", CALCULATE([GPI Score]))\nVAR BottomScore  = MINX(ScoreTable, [@Score])\nVAR BottomRow    = FILTER(ScoreTable, [@Score] = BottomScore)\nVAR BottomName   = MAXX(BottomRow, dim_property[PropertyName])\nVAR BottomMarket = MAXX(BottomRow, dim_property[MarketAbbrev])\nVAR BottomKey    = MAXX(BottomRow, dim_property[PropertyKey])\nRETURN\nIF(\n    ISBLANK(BottomScore), BLANK(),\n    "⚠️ " &amp;\n    "Prop #" &amp; FORMAT(BottomKey, "0") &amp;\n    " · " &amp; BottomMarket &amp;\n    " · Score: " &amp; FORMAT(BottomScore, "0")\n)</t>
  </si>
  <si>
    <t xml:space="preserve">GPI Region Top Property</t>
  </si>
  <si>
    <t xml:space="preserve">\nVAR RegionKey = SELECTEDVALUE(dim_property[RegionKey])\nVAR ScoreTable =\n    ADDCOLUMNS(\n        FILTER(ALL(dim_property), dim_property[RegionKey] = RegionKey),\n        "@Score", CALCULATE([GPI Score]))\nVAR TopScore  = MAXX(ScoreTable, [@Score])\nVAR TopRow    = FILTER(ScoreTable, [@Score] = TopScore)\nVAR TopName   = MAXX(TopRow, dim_property[PropertyAbbrev])\nVAR TopMarket = MAXX(TopRow, dim_property[MarketAbbrev])\nVAR TopKey    = MAXX(TopRow, dim_property[PropertyKey])\nRETURN\nIF(\n    ISBLANK(TopScore), BLANK(),\n    "⭐ " &amp;\n    " Prop #" &amp; FORMAT(TopKey, "0") &amp;\n    " · " &amp; TopMarket &amp;\n    " · Score: " &amp; FORMAT(TopScore, "0")\n)</t>
  </si>
  <si>
    <t xml:space="preserve">GPI Summary</t>
  </si>
  <si>
    <t xml:space="preserve">VAR ScoreVal = [GPI Score]\nVAR P1       = [GPI Pillar 1 (Absolute)]\nVAR P2       = [GPI Pillar 2 (Trend)]\nVAR TierVal  = [GPI Tier]\nVAR VsPort   = [GPI vs Portfolio]\nVAR VsSign   = IF(VsPort &gt;= 0, "+" &amp; FORMAT(VsPort, "0"), FORMAT(VsPort, "0"))\nRETURN\nIF(\n    ISBLANK(ScoreVal), BLANK(),\n    "GPI: " &amp; FORMAT(ScoreVal, "0") &amp;\n    " | " &amp; TierVal &amp;\n    " | Abs: " &amp; FORMAT(P1, "0.0") &amp;\n    " / Trend: " &amp; FORMAT(P2, "0.0") &amp;\n    " | vs Portfolio: " &amp; VsSign &amp; " pts"\n)</t>
  </si>
  <si>
    <t xml:space="preserve">GPI Top Measurement</t>
  </si>
  <si>
    <t xml:space="preserve">IF(\n    HASONEVALUE(dim_property[PropertyKey]),\n    VAR _AvgCPL      = CALCULATE(AVERAGEX(ALL(dim_property), [Cost per Lead (Actual)]),    ALL(dim_property), ALL(dim_market), ALL(dim_region))\n    VAR _AvgCPLease  = CALCULATE(AVERAGEX(ALL(dim_property), [Cost per Lease (Actual)]),   ALL(dim_property), ALL(dim_market), ALL(dim_region))\n    VAR _AvgSellRate = CALCULATE(AVERAGEX(ALL(dim_property), [Sell Rate]),                 ALL(dim_property), ALL(dim_market), ALL(dim_region))\n    VAR _AvgSLA      = CALCULATE(AVERAGEX(ALL(dim_property), [Properties Within SLA %]),   ALL(dim_property), ALL(dim_market), ALL(dim_region))\n    VAR _AvgVacFill  = CALCULATE(AVERAGEX(ALL(dim_property), [Vacancy Fill % (30D)]),      ALL(dim_property), ALL(dim_market), ALL(dim_region))\n    VAR _AvgVacReady = CALCULATE(AVERAGEX(ALL(dim_property), [Vacant Ready %]),            ALL(dim_property), ALL(dim_market), ALL(dim_region))\n    VAR _CPL_Score      = DIVIDE(_AvgCPL,      [Cost per Lead (Actual)])\n    VAR _CPLease_Score  = DIVIDE(_AvgCPLease,  [Cost per Lease (Actual)])\n    VAR _SellRate_Score = DIVIDE([Sell Rate],   _AvgSellRate)\n    VAR _SLA_Score      = DIVIDE([Properties Within SLA %], _AvgSLA)\n    VAR _VacFill_Score  = DIVIDE([Vacancy Fill % (30D)],    _AvgVacFill)\n    VAR _VacReady_Score = DIVIDE([Vacant Ready %],          _AvgVacReady)\n    VAR _scores =\n        UNION(\n            ROW("Label", "Cost per Lead",   "Score", _CPL_Score),\n            ROW("Label", "Cost per Lease",  "Score", _CPLease_Score),\n            ROW("Label", "Sell Rate",        "Score", _SellRate_Score),\n            ROW("Label", "SLA Compliance",   "Score", _SLA_Score),\n            ROW("Label", "Vacancy Fill",     "Score", _VacFill_Score),\n            ROW("Label", "Vacant Ready",     "Score", _VacReady_Score)\n        )\n    VAR _top =\n        MAXX(FILTER(_scores, NOT ISBLANK([Score])), [Score])\n    VAR _label =\n        MAXX(FILTER(_scores, [Score] = _top), [Label])\n    RETURN\n        IF(ISBLA ... [truncated]</t>
  </si>
  <si>
    <t xml:space="preserve">GPI vs Market Avg</t>
  </si>
  <si>
    <t xml:space="preserve">VAR ScoreVal = [GPI Score]\nVAR MktAvg =\n    CALCULATE(\n        AVERAGEX(VALUES(dim_property[PropertyKey]), [GPI Score]),\n        ALLEXCEPT(dim_property, dim_property[MarketKey])\n    )\nRETURN IF(ISBLANK(ScoreVal) || ISBLANK(MktAvg), BLANK(), ScoreVal - MktAvg)</t>
  </si>
  <si>
    <t xml:space="preserve">GPI vs Portfolio</t>
  </si>
  <si>
    <t xml:space="preserve">VAR ScoreVal = [GPI Score]\nVAR PortAvg =\n    CALCULATE(\n        AVERAGEX(VALUES(dim_property[MarketKey]), [GPI Score]),\n        ALL(dim_property[MarketKey])\n    )\nRETURN IF(ISBLANK(ScoreVal) || ISBLANK(PortAvg), BLANK(), ScoreVal - PortAvg)</t>
  </si>
  <si>
    <t xml:space="preserve">GPI vs Region Avg</t>
  </si>
  <si>
    <t xml:space="preserve">VAR ScoreVal = [GPI Score]\nVAR RegAvg =\n    CALCULATE(\n        AVERAGEX(VALUES(dim_property[MarketKey]), [GPI Score]),\n        ALLEXCEPT(dim_property, dim_property[RegionKey])\n    )\nRETURN IF(ISBLANK(ScoreVal) || ISBLANK(RegAvg), BLANK(), ScoreVal - RegAvg)</t>
  </si>
  <si>
    <t xml:space="preserve">SLA Risk Circle</t>
  </si>
  <si>
    <t xml:space="preserve">\nUNICHAR(9679)</t>
  </si>
  <si>
    <t xml:space="preserve">GEO_GPI_SCORE - CalculationLogic</t>
  </si>
  <si>
    <t xml:space="preserve">06 - GPI\6.3 - Score\6.3.1 - Final Score</t>
  </si>
  <si>
    <t xml:space="preserve">CALCULATE(\n    MAX('dim_visual_dictionary'[CalculationLogic]),\n    'dim_visual_dictionary'[VisualKey] = "GEO_GPI_SCORE"\n)</t>
  </si>
  <si>
    <t xml:space="preserve">GEO_GPI_SCORE - HowToRead</t>
  </si>
  <si>
    <t xml:space="preserve">CALCULATE(\n    MAX('dim_visual_dictionary'[HowToRead]),\n    'dim_visual_dictionary'[VisualKey] = "GEO_GPI_SCORE"\n)</t>
  </si>
  <si>
    <t xml:space="preserve">GEO_GPI_SCORE - Insight</t>
  </si>
  <si>
    <t xml:space="preserve">CALCULATE(\n    MAX('dim_visual_dictionary'[Insight]),\n    'dim_visual_dictionary'[VisualKey] = "GEO_GPI_SCORE"\n)</t>
  </si>
  <si>
    <t xml:space="preserve">GEO_GPI_SCORE - Purpose</t>
  </si>
  <si>
    <t xml:space="preserve">CALCULATE(\n    MAX('dim_visual_dictionary'[Purpose]),\n    'dim_visual_dictionary'[VisualKey] = "GEO_GPI_SCORE"\n)</t>
  </si>
  <si>
    <t xml:space="preserve">Geography Score</t>
  </si>
  <si>
    <t xml:space="preserve">Final GPI score rolled up at geography (market/region) grain.</t>
  </si>
  <si>
    <t xml:space="preserve">\nVAR MaxDateInModel =\n    CALCULATE(MAX(dim_date[Date]), ALL(dim_date))\nVAR CurrentPeriod =\n    DATESINPERIOD(dim_date[Date], MaxDateInModel, -30, DAY)\nVAR PreviousPeriod =\n    DATESINPERIOD(dim_date[Date], MaxDateInModel - 30, -30, DAY)\n\nVAR CapPct   = 0.50\nVAR W_Leases = 0.30\nVAR W_CPL    = 0.25\nVAR W_L2L    = 0.20\nVAR W_Sell   = 0.15\nVAR W_Leads  = 0.10\n\nVAR Curr_Leads =\n    CALCULATE([Leads (Actual)], CurrentPeriod)\nVAR Curr_Leases =\n    CALCULATE([New Leases (Attributed) Operational], CurrentPeriod)\nVAR Curr_Sell =\n    CALCULATE([Sell Rate], CurrentPeriod)\nVAR Curr_L2L =\n    DIVIDE(Curr_Leases, Curr_Leads, 0)\nVAR Curr_CPL =\n    CALCULATE([Cost per Lease (Actual)], CurrentPeriod)\n\nVAR Prev_Leads =\n    CALCULATE([Leads (Actual)], PreviousPeriod)\nVAR Prev_Leases =\n    CALCULATE([New Leases (Attributed) Operational], PreviousPeriod)\nVAR Prev_Sell =\n    CALCULATE([Sell Rate], PreviousPeriod)\nVAR Prev_L2L =\n    DIVIDE(Prev_Leases, Prev_Leads, 0)\nVAR Prev_CPL =\n    CALCULATE([Cost per Lease (Actual)], PreviousPeriod)\n\nVAR D_Leads  = DIVIDE(Curr_Leads - Prev_Leads, Prev_Leads, 0)\nVAR D_Leases = DIVIDE(Curr_Leases - Prev_Leases, Prev_Leases, 0)\nVAR D_Sell   = Curr_Sell - Prev_Sell\nVAR D_L2L    = Curr_L2L - Prev_L2L\nVAR D_CPL    = DIVIDE(Curr_CPL - Prev_CPL, Prev_CPL, 0)\n\nVAR C_Leads  = MAX(-CapPct, MIN(CapPct, D_Leads))\nVAR C_Leases = MAX(-CapPct, MIN(CapPct, D_Leases))\nVAR C_Sell   = MAX(-CapPct, MIN(CapPct, D_Sell))\nVAR C_L2L    = MAX(-CapPct, MIN(CapPct, D_L2L))\nVAR C_CPL    = MAX(-CapPct, MIN(CapPct, -D_CPL))\n\nVAR Score_Leads  = 50 + (C_Leads  / CapPct) * 50\nVAR Score_Leases = 50 + (C_Leases / CapPct) * 50\nVAR Score_Sell   = 50 + (C_Sell   / CapPct) * 50\nVAR Score_L2L    = 50 + (C_L2L    / CapPct) * 50\nVAR Score_CPL    = 50 + (C_CPL    / CapPct) * 50\n\nRETURN\n    (Score_Leases * W_Leases) +\n    (Score_CPL    * W_CPL) +\n    (Score_L2L    * W_L2L) +\n    (Score_Sell   * W_Sell) +\n    (Score_Leads  * W_Leads)</t>
  </si>
  <si>
    <t xml:space="preserve">GPI Market Rank Display</t>
  </si>
  <si>
    <t xml:space="preserve">\nVAR RankValue = [GPI Rank (Market)]\nVAR CurrentMarketKey = SELECTEDVALUE(dim_property[MarketKey])\nVAR TotalPropertiesInMarket =\n    COUNTROWS(\n        FILTER(\n            ALL(dim_property),\n            dim_property[MarketKey] = CurrentMarketKey\n        )\n    )\nRETURN\nIF(\n    ISBLANK(RankValue),\n    BLANK(),\n    "#" &amp; RankValue &amp; " of " &amp; TotalPropertiesInMarket\n)</t>
  </si>
  <si>
    <t xml:space="preserve">GPI Market Rank Subheader</t>
  </si>
  <si>
    <t xml:space="preserve">\nVAR RankValue = [GPI Rank (Market)]\nVAR CurrentMarketKey = SELECTEDVALUE(dim_property[MarketKey])\nVAR TotalPropertiesInMarket =\n    COUNTROWS(\n        FILTER(\n            ALL(dim_property),\n            dim_property[MarketKey] = CurrentMarketKey\n        )\n    )\nRETURN\nIF(\n    ISBLANK(RankValue),\n    BLANK(),\n    "Market #" &amp; RankValue &amp; " out of " &amp; TotalPropertiesInMarket\n)</t>
  </si>
  <si>
    <t xml:space="preserve">GPI Rank (Dynamic)</t>
  </si>
  <si>
    <t xml:space="preserve">Rank of the entity by GPI score at the Dynamic grain.</t>
  </si>
  <si>
    <t xml:space="preserve">\nVAR _IsProperty = HASONEVALUE(dim_property[PropertyKey])\nVAR _IsMarket   = HASONEVALUE(dim_property[MarketAbbrev]) &amp;&amp; NOT _IsProperty\nVAR _IsRegion   = HASONEVALUE(dim_property[RegionAbbrev]) &amp;&amp; NOT _IsMarket &amp;&amp; NOT _IsProperty\n\n-- ── Property ──────────────────────────────────────────────────\nVAR _PropertyRank =\n    VAR _CurKey   = SELECTEDVALUE(dim_property[PropertyKey])\n    VAR _CurScore = CALCULATE([GPI Score], ALL(dim_property), dim_property[PropertyKey] = _CurKey)\n    RETURN\n    IF(ISBLANK(_CurScore), BLANK(),\n        RANKX(\n            ALL(dim_property[PropertyKey]),\n            CALCULATE([GPI Score], ALL(dim_property), dim_property[PropertyKey] = _CurKey),\n            _CurScore,\n            DESC,\n            DENSE\n        )\n    )\n\n-- ── Market ────────────────────────────────────────────────────\nVAR _MarketRank =\n    VAR _CurKey   = SELECTEDVALUE(dim_property[MarketKey])\n    VAR _CurScore = CALCULATE([GPI Score], ALL(dim_property), dim_property[MarketKey] = _CurKey)\n    RETURN\n    IF(ISBLANK(_CurScore), BLANK(),\n        RANKX(\n            ALL(dim_property[MarketKey]),\n            CALCULATE([GPI Score], ALL(dim_property), dim_property[MarketKey] = SELECTEDVALUE(dim_property[MarketKey])),\n            _CurScore,\n            DESC,\n            DENSE\n        )\n    )\n\n-- ── Region ────────────────────────────────────────────────────\nVAR _RegionRank =\n    VAR _CurKey   = SELECTEDVALUE(dim_property[RegionKey])\n    VAR _CurScore = CALCULATE([GPI Score], ALL(dim_property), dim_property[RegionKey] = _CurKey)\n    RETURN\n    IF(ISBLANK(_CurScore), BLANK(),\n        RANKX(\n            ALL(dim_property[RegionKey]),\n            CALCULATE([GPI Score], ALL(dim_property), dim_property[RegionKey] = SELECTEDVALUE(dim_property[RegionKey])),\n            _CurScore,\n            DESC,\n            DENSE\n        )\n    )\n\nRETURN\nSWITCH(\n    TRUE(),\n    _IsProperty, _PropertyRank,\n    _IsMarket,   _MarketRank,\n    _IsRegion,   _Region ... [truncated]</t>
  </si>
  <si>
    <t xml:space="preserve">GPI Rank (Market)</t>
  </si>
  <si>
    <t xml:space="preserve">Rank of the entity by GPI score at the Market grain.</t>
  </si>
  <si>
    <t xml:space="preserve">VAR CurrentMarket = SELECTEDVALUE(dim_market[MarketName])\nVAR CurrentScore =\n    CALCULATE(\n        [GPI Score],\n        ALLEXCEPT(dim_market, dim_market[MarketName])\n    )\nRETURN\nIF(\n    ISBLANK(CurrentScore),\n    BLANK(),\n    RANKX(\n        ALL(dim_market),\n        CALCULATE([GPI Score]),\n        CurrentScore,\n        DESC,\n        DENSE\n    )\n)</t>
  </si>
  <si>
    <t xml:space="preserve">GPI Rank (Property)</t>
  </si>
  <si>
    <t xml:space="preserve">Rank of the entity by GPI score at the Property grain.</t>
  </si>
  <si>
    <t xml:space="preserve">\nVAR CurrentScore = [GPI Score]\nRETURN\nIF(\n    ISBLANK(CurrentScore),\n    BLANK(),\n    IF(\n        HASONEVALUE(dim_property[PropertyName]),\n        VAR _AllScores =\n            ADDCOLUMNS(\n                ALL(dim_property[PropertyKey]),\n                "@Score", CALCULATE([GPI Score]))\n        RETURN\n        RANKX(\n            _AllScores,\n            [@Score],\n            CurrentScore,\n            DESC,\n            DENSE\n        ),\n        VAR _SelScores =\n            ADDCOLUMNS(\n                ALLSELECTED(dim_property[PropertyKey]),\n                "@Score", CALCULATE([GPI Score]))\n        RETURN\n        RANKX(\n            _SelScores,\n            [@Score],\n            CurrentScore,\n            DESC,\n            DENSE\n        )\n    )\n)</t>
  </si>
  <si>
    <t xml:space="preserve">GPI Rank (Property) Display</t>
  </si>
  <si>
    <t xml:space="preserve">\nVAR RankValue = [GPI Rank (Property)]\nVAR TotalProperties = CALCULATE(COUNTROWS(ALL(dim_property)))\nRETURN\nIF(\n    ISBLANK(RankValue),\n    BLANK(),\n    "#" &amp; RankValue &amp; " of " &amp; TotalProperties\n)</t>
  </si>
  <si>
    <t xml:space="preserve">GPI Rank (Region)</t>
  </si>
  <si>
    <t xml:space="preserve">Rank of the entity by GPI score at the Region grain.</t>
  </si>
  <si>
    <t xml:space="preserve">\nVAR CurrentPropertyKey = SELECTEDVALUE(dim_property[PropertyKey])\nVAR CurrentRegionKey = SELECTEDVALUE(dim_property[RegionKey])\n\nVAR CurrentScore =\n    CALCULATE(\n        [GPI Score],\n       REMOVEFILTERS(dim_property),\n        REMOVEFILTERS(dim_market),\n        dim_property[PropertyKey] = CurrentPropertyKey\n    )\n\nRETURN\nIF(\n    ISBLANK(CurrentScore),\n    BLANK(),\n    RANKX(\n        FILTER(\n            ALL(dim_property),\n            dim_property[RegionKey] = CurrentRegionKey\n        ),\n        CALCULATE(\n            [GPI Score],\n        REMOVEFILTERS(dim_market)\n        ),\n        CurrentScore,\n        DESC,\n        DENSE\n    )\n)</t>
  </si>
  <si>
    <t xml:space="preserve">GPI Rank Display</t>
  </si>
  <si>
    <t xml:space="preserve">Rank of the entity by GPI score at the grain grain.</t>
  </si>
  <si>
    <t xml:space="preserve">\nVAR RankValue = [GPI Rank (Region)]\nVAR CurrentRegionKey = SELECTEDVALUE(dim_property[RegionKey])\nVAR TotalPropertiesInRegion =\n    COUNTROWS(\n        FILTER(\n            ALL(dim_property),\n            dim_property[RegionKey] = CurrentRegionKey\n        )\n    )\nRETURN\nIF(\n    ISBLANK(RankValue),\n    BLANK(),\n    "#" &amp; RankValue &amp; " of " &amp; TotalPropertiesInRegion\n)</t>
  </si>
  <si>
    <t xml:space="preserve">GPI Score</t>
  </si>
  <si>
    <t xml:space="preserve">Composite Geographic Performance Index (0–100): weighted blend of Pillar 1 (absolute) and Pillar 2 (trend).</t>
  </si>
  <si>
    <t xml:space="preserve">VAR P1 = [GPI Pillar 1 (Absolute)]\nVAR P2 = [GPI Pillar 2 (Trend)]\nRETURN\nIF(\n    ISBLANK(P1) &amp;&amp; ISBLANK(P2), BLANK(),\n    IF(ISBLANK(P1), P2,\n    IF(ISBLANK(P2), P1,\n    (P1 * 0.60) + (P2 * 0.40)))\n)</t>
  </si>
  <si>
    <t xml:space="preserve">Market - Lowest GPI Score</t>
  </si>
  <si>
    <t xml:space="preserve">VAR Summary =\n    ADDCOLUMNS(\n        VALUES(dim_market[MarketName]),\n        "__Val",\n        CALCULATE([Geography Score]))\nVAR FilteredSummary = FILTER(Summary, NOT ISBLANK([__Val]) &amp;&amp; [__Val] &gt; 0)\nVAR BottomRow = TOPN(1, FilteredSummary, [__Val], ASC)\nVAR BottomName = MAXX(BottomRow, [MarketName])\nVAR BottomVal  = MAXX(BottomRow, [__Val])\nRETURN\nIF(\n    ISBLANK(BottomName), BLANK(),\n    "⚠️" &amp; " " &amp; BottomName &amp; " - " &amp; FORMAT(BottomVal, "0.0")\n)</t>
  </si>
  <si>
    <t xml:space="preserve">Portfolio GPI Score</t>
  </si>
  <si>
    <t xml:space="preserve">GPI score aggregated across the entire portfolio.</t>
  </si>
  <si>
    <t xml:space="preserve">\nCALCULATE(\n    [Geography Score], REMOVEFILTERS(dim_market),\n    REMOVEFILTERS(dim_property),\n    REMOVEFILTERS(dim_region)\n)</t>
  </si>
  <si>
    <t xml:space="preserve">GPI Tier</t>
  </si>
  <si>
    <t xml:space="preserve">Tier classification (e.g., Elite / Strong / Moderate / Weak) derived from GPI score bands.</t>
  </si>
  <si>
    <t xml:space="preserve">06 - GPI\6.3 - Score\6.3.2 - Tiers &amp; Labels</t>
  </si>
  <si>
    <t xml:space="preserve">\nVAR Score = [GPI Score]\nRETURN\nSWITCH(\n    TRUE(),\n    ISBLANK(Score),  BLANK(),\n    Score &gt;= 88.5,   "Excellent",\n    Score &gt;= 83.0,   "Good",\n    Score &gt;= 76.7,   "Average",\n    Score &gt;= 73.4,   "Below Average",\n    "Critical"\n)</t>
  </si>
  <si>
    <t xml:space="preserve">GPI Tier (Numeric)</t>
  </si>
  <si>
    <t xml:space="preserve">\nVAR Score = [GPI Score]\nRETURN\nSWITCH(\n    TRUE(),\n    ISBLANK(Score),  BLANK(),\n    Score &gt;= 88.5,   5,\n    Score &gt;= 83.0,   4,\n    Score &gt;= 76.7,   3,\n    Score &gt;= 73.4,   2,\n    1\n)\n</t>
  </si>
  <si>
    <t xml:space="preserve">GPI Tier Sort</t>
  </si>
  <si>
    <t xml:space="preserve">\nVAR Score = [GPI Score]\nRETURN\nSWITCH(\n    TRUE(),\n    ISBLANK(Score),  BLANK(),\n    Score &gt;= 88.5,   1,\n    Score &gt;= 83.0,   2,\n    Score &gt;= 76.7,   3,\n    Score &gt;= 73.4,   4,\n    5\n)</t>
  </si>
  <si>
    <t xml:space="preserve">Marketing Quadrant Label</t>
  </si>
  <si>
    <t xml:space="preserve">Text label helper for tier or band display on cards / tooltips.</t>
  </si>
  <si>
    <t xml:space="preserve">\nVAR M = [Property Vendor Index (Normalized)]\nVAR O = [Operations Index Score]\nRETURN\nIF(\n    ISBLANK(M) || ISBLANK(O),\n    BLANK(),\n    IF(\n        M &gt;= 50,\n        IF(O &gt;= 75, "Scale &amp; Invest", "Fix Operations"),\n        IF(O &gt;= 75, "Increase Marketing", "High Risk")\n    )\n)</t>
  </si>
  <si>
    <t xml:space="preserve">GPI P1 - Vacancy Fill %</t>
  </si>
  <si>
    <t xml:space="preserve">06 - GPI\6.3 - Score\6.3.3 - Color &amp; Formatting</t>
  </si>
  <si>
    <t xml:space="preserve">VAR CurrVal = [Vacancy Fill % (30D)]\n\n-- Property grain\nVAR PropertyCount =\n    CALCULATE(\n        DISTINCTCOUNT(dim_property[PropertyKey]),\n        ALLSELECTED(dim_property[PropertyKey])\n    )\nVAR PropertyRank =\n    RANKX(\n        ALLSELECTED(dim_property[PropertyKey]),\n        CALCULATE([Vacancy Fill % (30D)], ALLSELECTED(dim_date)),\n        CurrVal, DESC, DENSE\n    )\n\n-- Market grain\nVAR MarketCount =\n    CALCULATE(\n        DISTINCTCOUNT(dim_market[MarketKey]),\n        ALLSELECTED(dim_market)\n    )\nVAR MarketRank =\n    RANKX(\n        ALLSELECTED(dim_market),\n        CALCULATE([Vacancy Fill % (30D)], ALLSELECTED(dim_date)),\n        CurrVal, DESC, DENSE\n    )\n\n-- Region grain\nVAR RegionCount =\n    CALCULATE(\n        DISTINCTCOUNT(dim_region[RegionKey]),\n        ALLSELECTED(dim_region)\n    )\nVAR RegionRank =\n    RANKX(\n        ALLSELECTED(dim_region),\n        CALCULATE([Vacancy Fill % (30D)], ALLSELECTED(dim_date)),\n        CurrVal, DESC, DENSE\n    )\n\nRETURN\nSWITCH(\n    TRUE(),\n\n    ISINSCOPE(dim_property[PropertyKey]),\n        IF(\n            ISBLANK(CurrVal) || PropertyCount &lt;= 1, BLANK(),\n            DIVIDE(PropertyCount - PropertyRank, PropertyCount - 1)\n        ),\n\n    ISINSCOPE(dim_market[MarketName]),\n        IF(\n            ISBLANK(CurrVal) || MarketCount &lt;= 1, BLANK(),\n            DIVIDE(MarketCount - MarketRank, MarketCount - 1)\n        ),\n\n    ISINSCOPE(dim_region[RegionName]),\n        IF(\n            ISBLANK(CurrVal) || RegionCount &lt;= 1, BLANK(),\n            DIVIDE(RegionCount - RegionRank, RegionCount - 1)\n        ),\n\n    BLANK()\n)</t>
  </si>
  <si>
    <t xml:space="preserve">GPI Score - CF Color</t>
  </si>
  <si>
    <t xml:space="preserve">\nVAR _score = [GPI Score]\nRETURN\nSWITCH(\n    TRUE(),\n    ISBLANK(_score),  "#303030",\n    _score &gt;= 88.5,   "#1A7A4A",   -- deep green   (Excellent)\n    _score &gt;= 83.0,   "#2ECC71",   -- green        (Good)\n    _score &gt;= 76.7,   "#A8D44A",   -- yellow-green (Average)\n    _score &gt;= 73.4,   "#E8A838",   -- amber        (Below Average)\n    _score &gt;= 65.0,   "#E8732A",   -- orange       (approaching Critical)\n    "#C0392B"                       -- deep red     (Critical)\n)</t>
  </si>
  <si>
    <t xml:space="preserve">GPI Tier Color</t>
  </si>
  <si>
    <t xml:space="preserve">\nVAR Tier = [GPI Tier]\nRETURN\nSWITCH(\n    Tier,\n    "Excellent",     "#00C853",\n    "Good",          "#76C442",\n    "Average",       "#F5A623",\n    "Below Average", "#E8431D",\n    "Critical",      "#C0001A",\n    "#2A2E36"\n)</t>
  </si>
  <si>
    <t xml:space="preserve">GPI Tier Icon</t>
  </si>
  <si>
    <t xml:space="preserve">\nVAR Score = [GPI Score]\nRETURN\nSWITCH(\n    TRUE(),\n    ISBLANK(Score), BLANK(),\n    Score &gt;= 88.5,  UNICHAR(11088) &amp; " Excellent",    -- ★ filled star\n    Score &gt;= 83.0,  UNICHAR(9650)  &amp; " Good",          -- ▲ solid triangle up\n    Score &gt;= 76.7,  UNICHAR(9632)  &amp; " Average",       -- ■ solid square\n    Score &gt;= 73.4,  UNICHAR(9660)  &amp; " Below Average", -- ▼ solid triangle down\n    UNICHAR(9888)   &amp; " Critical"                       -- ⚠ warning triangle\n)</t>
  </si>
  <si>
    <t xml:space="preserve">_GPI_PriorStart</t>
  </si>
  <si>
    <t xml:space="preserve">Star / Icon</t>
  </si>
  <si>
    <t xml:space="preserve">06 - GPI\6.3 - Score\6.3.4 - Stars &amp; Icons</t>
  </si>
  <si>
    <t xml:space="preserve">-- Prior period is the same length as scoring window, immediately before it.\n-- If this resolves before your data starts, DATESBETWEEN returns BLANK\n-- in the trend measures → correct clean behaviour.\nVAR _scoringStart = [_GPI_ScoringStart]\nVAR _scoringEnd   = [_GPI_ScoringEnd]\nVAR _windowDays   = DATEDIFF(_scoringStart, _scoringEnd, DAY) + 1\nVAR _priorEnd     = [_GPI_PriorEnd]\nRETURN _priorEnd - _windowDays + 1</t>
  </si>
  <si>
    <t xml:space="preserve">_GPI_ScoringStart</t>
  </si>
  <si>
    <t xml:space="preserve">-- RULE 2: If fewer than 30 days in filter, expand back 30 days from ScoringEnd.\n-- Otherwise use the actual start of the filter context.\nVAR _days  = [_GPI_DaysInFilter]\nVAR _end   = [_GPI_ScoringEnd]\nRETURN\nIF(\n    _days &lt; 30,\n    _end - 29,\n    CALCULATE(MIN(dim_date[Date]), ALLSELECTED(dim_date))\n)</t>
  </si>
  <si>
    <t xml:space="preserve">GPI Score (Stars)</t>
  </si>
  <si>
    <t xml:space="preserve">\nVAR S = [GPI Score]\nVAR Stars =\n    SWITCH(\n        TRUE(),\n        S &gt;= 90, "★★★★★",\n        S &gt;= 84, "★★★★½",\n        S &gt;= 74, "★★★★",\n        S &gt;= 69, "★★★½",\n        S &gt;= 59, "★★★",\n        S &gt;= 54, "★★½",\n        S &gt;= 44, "★★",\n        S &gt;= 39, "★½",\n        S &gt;= 29, "★",\n        "½"\n    )\nRETURN\nIF(ISBLANK(S), BLANK(), FORMAT(S, "0.0") &amp; " " &amp; Stars)</t>
  </si>
  <si>
    <t xml:space="preserve">_GPI_DataEnd</t>
  </si>
  <si>
    <t xml:space="preserve">Helper</t>
  </si>
  <si>
    <t xml:space="preserve">Helper / utility measure supporting a composite score (display, switching, or diagnostic).</t>
  </si>
  <si>
    <t xml:space="preserve">06 - GPI\6.4 - Helpers</t>
  </si>
  <si>
    <t xml:space="preserve">-- Last date that has actual fact data across the portfolio.\n-- Caps the scoring window so months beyond the data cutoff return BLANK\n-- instead of scoring against an empty window.\nCALCULATE(\n    MAX(fact_marketing_spend_daily[DateKey]),\n    ALL(dim_property),\n    ALL(dim_date)\n)</t>
  </si>
  <si>
    <t xml:space="preserve">_GPI_DaysInFilter</t>
  </si>
  <si>
    <t xml:space="preserve">COUNTROWS(ALLSELECTED(dim_date))</t>
  </si>
  <si>
    <t xml:space="preserve">_GPI_MaxDate</t>
  </si>
  <si>
    <t xml:space="preserve">-- Max date in current filter, capped to the last date with real data.\n-- This is the core of the data-end rule: if the visual row context is\n-- a month beyond your data cutoff, MaxDate resolves to DataEnd and the\n-- scoring window anchors there instead of floating into empty space.\nVAR _filterMax = MAX(dim_date[Date])\nVAR _dataEnd   =\n    CALCULATE(\n        MAX(dim_date[Date]),\n        FILTER(\n            ALL(dim_date),\n            dim_date[DateKey] &lt;= [_GPI_DataEnd]\n        )\n    )\nRETURN MIN(_filterMax, _dataEnd)</t>
  </si>
  <si>
    <t xml:space="preserve">_GPI_PriorEnd</t>
  </si>
  <si>
    <t xml:space="preserve">-- Prior period ends the day before the scoring window starts.\n[_GPI_ScoringStart] - 1</t>
  </si>
  <si>
    <t xml:space="preserve">_GPI_ScoringEnd</t>
  </si>
  <si>
    <t xml:space="preserve">-- Always the (capped) MaxDate.\n[_GPI_MaxDate]</t>
  </si>
  <si>
    <t xml:space="preserve">Vendor Performance Index — 0–100 composite evaluating each marketing vendor across the full funnel.</t>
  </si>
  <si>
    <t xml:space="preserve">Four stage scores with conversion-heavy weighting: Awareness (15%) + Consideration (20%) + Evaluation (25%) + Conversion (40%).</t>
  </si>
  <si>
    <t xml:space="preserve">Each stage score is built from percentile-ranked components (impressions, CTR, CPC, click-to-visit, visits, CPV, V2L, leads, CPL, L2L, new leases, CPLease, etc.).</t>
  </si>
  <si>
    <t xml:space="preserve">Structure: 7.1 Components (by stage) → 7.2 KPIs → 7.3.1 Final Score + Ranks → 7.3.2 Tiers → 7.4 Helpers (17 diagnostic helpers for top/weakest metrics per stage).</t>
  </si>
  <si>
    <t xml:space="preserve">Tier bands: Elite (80–100), Strong (60–79), Moderate (40–59), Underperforming (20–39), Critical (0–19).</t>
  </si>
  <si>
    <t xml:space="preserve">Awareness_ClickToVisit_Percentile</t>
  </si>
  <si>
    <t xml:space="preserve">Awareness stage percentile rank of ClickToVisit across all vendors (0–100, higher = better).</t>
  </si>
  <si>
    <t xml:space="preserve">07 - VPI\7.1 - Components\7.1.1 - Awareness</t>
  </si>
  <si>
    <t xml:space="preserve">VAR CurrentVendorC2V = [_Base_ClickToVisitRate]\n\nVAR VendorsWithLowerC2V = \n    IF(\n        HASONEVALUE(dim_vendor[VendorName]),\n        COUNTROWS(\n            FILTER(\n                ALL(dim_vendor),\n                CALCULATE([_Base_ClickToVisitRate]) &lt; CurrentVendorC2V\n            )\n        ),\n        COUNTROWS(\n            FILTER(\n                ALLSELECTED(dim_vendor),\n                CALCULATE([_Base_ClickToVisitRate]) &lt; CurrentVendorC2V\n            )\n        )\n    )\n\nVAR TotalVendors = \n    IF(\n        HASONEVALUE(dim_vendor[VendorName]),\n        COUNTROWS(ALL(dim_vendor)),\n        COUNTROWS(ALLSELECTED(dim_vendor))\n    )\n\nRETURN\nIF(\n    ISBLANK(CurrentVendorC2V) || TotalVendors = 0,\n    BLANK(),\n    DIVIDE(VendorsWithLowerC2V, TotalVendors, 0) * 100\n)</t>
  </si>
  <si>
    <t xml:space="preserve">Awareness_CPC_Percentile</t>
  </si>
  <si>
    <t xml:space="preserve">Awareness stage percentile rank of CPC across all vendors (0–100, higher = better).</t>
  </si>
  <si>
    <t xml:space="preserve">VAR CurrentVendorCPC = [_Base_CostPerClick]\n\nVAR VendorsWithHigherCPC = \n    IF(\n        HASONEVALUE(dim_vendor[VendorName]),\n        COUNTROWS(\n            FILTER(\n                ALL(dim_vendor),\n                CALCULATE([_Base_CostPerClick]) &gt; CurrentVendorCPC\n            )\n        ),\n        COUNTROWS(\n            FILTER(\n                ALLSELECTED(dim_vendor),\n                CALCULATE([_Base_CostPerClick]) &gt; CurrentVendorCPC\n            )\n        )\n    )\n\nVAR TotalVendors = \n    IF(\n        HASONEVALUE(dim_vendor[VendorName]),\n        COUNTROWS(ALL(dim_vendor)),\n        COUNTROWS(ALLSELECTED(dim_vendor))\n    )\n\nRETURN\nIF(\n    ISBLANK(CurrentVendorCPC) || TotalVendors = 0,\n    BLANK(),\n    DIVIDE(VendorsWithHigherCPC, TotalVendors, 0) * 100\n)</t>
  </si>
  <si>
    <t xml:space="preserve">Awareness_CTR_Percentile</t>
  </si>
  <si>
    <t xml:space="preserve">Awareness stage percentile rank of CTR across all vendors (0–100, higher = better).</t>
  </si>
  <si>
    <t xml:space="preserve">VAR CurrentVendorCTR = [_Base_CTR]\n\nVAR VendorsWithLowerCTR = \n    IF(\n        HASONEVALUE(dim_vendor[VendorName]),\n        COUNTROWS(\n            FILTER(\n                ALL(dim_vendor),\n                CALCULATE([_Base_CTR]) &lt; CurrentVendorCTR\n            )\n        ),\n        COUNTROWS(\n            FILTER(\n                ALLSELECTED(dim_vendor),\n                CALCULATE([_Base_CTR]) &lt; CurrentVendorCTR\n            )\n        )\n    )\n\nVAR TotalVendors = \n    IF(\n        HASONEVALUE(dim_vendor[VendorName]),\n        COUNTROWS(ALL(dim_vendor)),\n        COUNTROWS(ALLSELECTED(dim_vendor))\n    )\n\nRETURN\nIF(\n    ISBLANK(CurrentVendorCTR) || TotalVendors = 0,\n    BLANK(),\n    DIVIDE(VendorsWithLowerCTR, TotalVendors, 0) * 100\n)</t>
  </si>
  <si>
    <t xml:space="preserve">Awareness_Impressions_Percentile</t>
  </si>
  <si>
    <t xml:space="preserve">Awareness stage percentile rank of Impressions across all vendors (0–100, higher = better).</t>
  </si>
  <si>
    <t xml:space="preserve">VAR CurrentVendorImpressions = [_Base_Impressions]\n\nVAR VendorsWithLowerImpressions = \n    IF(\n        HASONEVALUE(dim_vendor[VendorName]),\n        COUNTROWS(\n            FILTER(\n                ALL(dim_vendor),\n                CALCULATE([_Base_Impressions]) &lt; CurrentVendorImpressions\n            )\n        ),\n        COUNTROWS(\n            FILTER(\n                ALLSELECTED(dim_vendor),\n                CALCULATE([_Base_Impressions]) &lt; CurrentVendorImpressions\n            )\n        )\n    )\n\nVAR TotalVendors = \n    IF(\n        HASONEVALUE(dim_vendor[VendorName]),\n        COUNTROWS(ALL(dim_vendor)),\n        COUNTROWS(ALLSELECTED(dim_vendor))\n    )\n\nRETURN\nIF(\n    ISBLANK(CurrentVendorImpressions) || TotalVendors = 0,\n    BLANK(),\n    DIVIDE(VendorsWithLowerImpressions, TotalVendors, 0) * 100\n)</t>
  </si>
  <si>
    <t xml:space="preserve">Awareness_Impressions_Percentile_Fixed</t>
  </si>
  <si>
    <t xml:space="preserve">VAR CurrentVendorImpressions = [_Base_Impressions]\n\nVAR VendorsWithLowerImpressions = \n    COUNTROWS(\n        FILTER(\n            ALL(dim_vendor),\n            CALCULATE(\n                [_Base_Impressions]\n            ) &lt; CurrentVendorImpressions\n        )\n    )\n\nVAR TotalVendors = \n    COUNTROWS(ALL(dim_vendor))\n\nRETURN\nIF(\n    ISBLANK(CurrentVendorImpressions) || TotalVendors = 0,\n    BLANK(),\n    DIVIDE(VendorsWithLowerImpressions, TotalVendors, 0) * 100\n)</t>
  </si>
  <si>
    <t xml:space="preserve">Consideration_CPV_Percentile</t>
  </si>
  <si>
    <t xml:space="preserve">Consideration stage percentile rank of CPV across all vendors (0–100, higher = better).</t>
  </si>
  <si>
    <t xml:space="preserve">07 - VPI\7.1 - Components\7.1.2 - Consideration</t>
  </si>
  <si>
    <t xml:space="preserve">VAR CurrentVendorCPV =\n    DIVIDE(\n        SUM(fact_marketing_spend_daily[Spend]),\n        CALCULATE(\n            COUNTROWS(fact_prospect_journey),\n            fact_prospect_journey[FunnelStageKey] = 3,\n            USERELATIONSHIP(fact_prospect_journey[VendorKey], dim_vendor[VendorKey])\n        )\n    )\n\nVAR VendorsWithHigherCPV =\n    IF(\n        HASONEVALUE(dim_vendor[VendorName]),\n        COUNTROWS(\n            FILTER(\n                ALL(dim_vendor),\n                DIVIDE(\n                    CALCULATE(SUM(fact_marketing_spend_daily[Spend])),\n                    CALCULATE(\n                        COUNTROWS(fact_prospect_journey),\n                        fact_prospect_journey[FunnelStageKey] = 3,\n                        USERELATIONSHIP(fact_prospect_journey[VendorKey], dim_vendor[VendorKey])\n                    )\n                ) &gt; CurrentVendorCPV\n            )\n        ),\n        COUNTROWS(\n            FILTER(\n                ALLSELECTED(dim_vendor),\n                DIVIDE(\n                    CALCULATE(SUM(fact_marketing_spend_daily[Spend])),\n                    CALCULATE(\n                        COUNTROWS(fact_prospect_journey),\n                        fact_prospect_journey[FunnelStageKey] = 3,\n                        USERELATIONSHIP(fact_prospect_journey[VendorKey], dim_vendor[VendorKey])\n                    )\n                ) &gt; CurrentVendorCPV\n            )\n        )\n    )\n\nVAR TotalVendors =\n    IF(HASONEVALUE(dim_vendor[VendorName]), COUNTROWS(ALL(dim_vendor)), COUNTROWS(ALLSELECTED(dim_vendor)))\n\nRETURN\nIF(\n    ISBLANK(CurrentVendorCPV) || TotalVendors = 0,\n    BLANK(),\n    DIVIDE(VendorsWithHigherCPV, TotalVendors, 0) * 100\n)</t>
  </si>
  <si>
    <t xml:space="preserve">Consideration_Visits_Percentile</t>
  </si>
  <si>
    <t xml:space="preserve">Consideration stage percentile rank of Visits across all vendors (0–100, higher = better).</t>
  </si>
  <si>
    <t xml:space="preserve">VAR CurrentVendorVisits =\n    CALCULATE(\n        COUNTROWS(fact_prospect_journey),\n        fact_prospect_journey[FunnelStageKey] = 3,\n        USERELATIONSHIP(fact_prospect_journey[VendorKey], dim_vendor[VendorKey])\n    )\n\nVAR VendorsWithLowerVisits =\n    IF(\n        HASONEVALUE(dim_vendor[VendorName]),\n        COUNTROWS(\n            FILTER(\n                ALL(dim_vendor),\n                CALCULATE(\n                    COUNTROWS(fact_prospect_journey),\n                    fact_prospect_journey[FunnelStageKey] = 3,\n                    USERELATIONSHIP(fact_prospect_journey[VendorKey], dim_vendor[VendorKey])\n                ) &lt; CurrentVendorVisits\n            )\n        ),\n        COUNTROWS(\n            FILTER(\n                ALLSELECTED(dim_vendor),\n                CALCULATE(\n                    COUNTROWS(fact_prospect_journey),\n                    fact_prospect_journey[FunnelStageKey] = 3,\n                    USERELATIONSHIP(fact_prospect_journey[VendorKey], dim_vendor[VendorKey])\n                ) &lt; CurrentVendorVisits\n            )\n        )\n    )\n\nVAR TotalVendors =\n    IF(HASONEVALUE(dim_vendor[VendorName]), COUNTROWS(ALL(dim_vendor)), COUNTROWS(ALLSELECTED(dim_vendor)))\n\nRETURN\nIF(\n    ISBLANK(CurrentVendorVisits) || TotalVendors = 0,\n    BLANK(),\n    DIVIDE(VendorsWithLowerVisits, TotalVendors, 0) * 100\n)</t>
  </si>
  <si>
    <t xml:space="preserve">Consideration_VisitToLead_Percentile</t>
  </si>
  <si>
    <t xml:space="preserve">Consideration stage percentile rank of VisitToLead across all vendors (0–100, higher = better).</t>
  </si>
  <si>
    <t xml:space="preserve">VAR CurrentVendorV2L = [_Base_VisitToLeadRate]\n\nVAR VendorsWithLowerV2L = \n    IF(\n        HASONEVALUE(dim_vendor[VendorName]),\n        COUNTROWS(\n            FILTER(\n                ALL(dim_vendor),\n                CALCULATE([_Base_VisitToLeadRate]) &lt; CurrentVendorV2L\n            )\n        ),\n        COUNTROWS(\n            FILTER(\n                ALLSELECTED(dim_vendor),\n                CALCULATE([_Base_VisitToLeadRate]) &lt; CurrentVendorV2L\n            )\n        )\n    )\n\nVAR TotalVendors = \n    IF(\n        HASONEVALUE(dim_vendor[VendorName]),\n        COUNTROWS(ALL(dim_vendor)),\n        COUNTROWS(ALLSELECTED(dim_vendor))\n    )\n\nRETURN\nIF(\n    ISBLANK(CurrentVendorV2L) || TotalVendors = 0,\n    BLANK(),\n    DIVIDE(VendorsWithLowerV2L, TotalVendors, 0) * 100\n)</t>
  </si>
  <si>
    <t xml:space="preserve">Evaluation_CPL_Percentile</t>
  </si>
  <si>
    <t xml:space="preserve">Evaluation stage percentile rank of CPL across all vendors (0–100, higher = better).</t>
  </si>
  <si>
    <t xml:space="preserve">07 - VPI\7.1 - Components\7.1.3 - Evaluation</t>
  </si>
  <si>
    <t xml:space="preserve">VAR CurrentVendorCPL =\n    DIVIDE(\n        SUM(fact_marketing_spend_daily[Spend]),\n        CALCULATE(\n            COUNTROWS(fact_prospect_journey),\n            fact_prospect_journey[FunnelStageKey] = 4,\n            USERELATIONSHIP(fact_prospect_journey[VendorKey], dim_vendor[VendorKey])\n        )\n    )\n\nVAR VendorsWithHigherCPL =\n    IF(\n        HASONEVALUE(dim_vendor[VendorName]),\n        COUNTROWS(\n            FILTER(\n                ALL(dim_vendor),\n                DIVIDE(\n                    CALCULATE(SUM(fact_marketing_spend_daily[Spend])),\n                    CALCULATE(\n                        COUNTROWS(fact_prospect_journey),\n                        fact_prospect_journey[FunnelStageKey] = 4,\n                        USERELATIONSHIP(fact_prospect_journey[VendorKey], dim_vendor[VendorKey])\n                    )\n                ) &gt; CurrentVendorCPL\n            )\n        ),\n        COUNTROWS(\n            FILTER(\n                ALLSELECTED(dim_vendor),\n                DIVIDE(\n                    CALCULATE(SUM(fact_marketing_spend_daily[Spend])),\n                    CALCULATE(\n                        COUNTROWS(fact_prospect_journey),\n                        fact_prospect_journey[FunnelStageKey] = 4,\n                        USERELATIONSHIP(fact_prospect_journey[VendorKey], dim_vendor[VendorKey])\n                    )\n                ) &gt; CurrentVendorCPL\n            )\n        )\n    )\n\nVAR TotalVendors =\n    IF(HASONEVALUE(dim_vendor[VendorName]), COUNTROWS(ALL(dim_vendor)), COUNTROWS(ALLSELECTED(dim_vendor)))\n\nRETURN\nIF(\n    ISBLANK(CurrentVendorCPL) || TotalVendors = 0,\n    BLANK(),\n    DIVIDE(VendorsWithHigherCPL, TotalVendors, 0) * 100\n)</t>
  </si>
  <si>
    <t xml:space="preserve">Evaluation_Leads_Percentile</t>
  </si>
  <si>
    <t xml:space="preserve">Evaluation stage percentile rank of Leads across all vendors (0–100, higher = better).</t>
  </si>
  <si>
    <t xml:space="preserve">VAR CurrentVendorLeads =\n    CALCULATE(\n        COUNTROWS(fact_prospect_journey),\n        fact_prospect_journey[FunnelStageKey] = 4,\n        USERELATIONSHIP(fact_prospect_journey[VendorKey], dim_vendor[VendorKey])\n    )\n\nVAR VendorsWithLowerLeads =\n    IF(\n        HASONEVALUE(dim_vendor[VendorName]),\n        COUNTROWS(\n            FILTER(\n                ALL(dim_vendor),\n                CALCULATE(\n                    COUNTROWS(fact_prospect_journey),\n                    fact_prospect_journey[FunnelStageKey] = 4,\n                    USERELATIONSHIP(fact_prospect_journey[VendorKey], dim_vendor[VendorKey])\n                ) &lt; CurrentVendorLeads\n            )\n        ),\n        COUNTROWS(\n            FILTER(\n                ALLSELECTED(dim_vendor),\n                CALCULATE(\n                    COUNTROWS(fact_prospect_journey),\n                    fact_prospect_journey[FunnelStageKey] = 4,\n                    USERELATIONSHIP(fact_prospect_journey[VendorKey], dim_vendor[VendorKey])\n                ) &lt; CurrentVendorLeads\n            )\n        )\n    )\n\nVAR TotalVendors =\n    IF(HASONEVALUE(dim_vendor[VendorName]), COUNTROWS(ALL(dim_vendor)), COUNTROWS(ALLSELECTED(dim_vendor)))\n\nRETURN\nIF(\n    ISBLANK(CurrentVendorLeads) || TotalVendors = 0,\n    BLANK(),\n    DIVIDE(VendorsWithLowerLeads, TotalVendors, 0) * 100\n)</t>
  </si>
  <si>
    <t xml:space="preserve">Evaluation_LeadToLease_Percentile</t>
  </si>
  <si>
    <t xml:space="preserve">Evaluation stage percentile rank of LeadToLease across all vendors (0–100, higher = better).</t>
  </si>
  <si>
    <t xml:space="preserve">VAR CurrentVendorL2L = [_Base_LeadToLeaseRate]\n\nVAR VendorsWithLowerL2L = \n    IF(\n        HASONEVALUE(dim_vendor[VendorName]),\n        COUNTROWS(\n            FILTER(\n                ALL(dim_vendor),\n                CALCULATE([_Base_LeadToLeaseRate]) &lt; CurrentVendorL2L\n            )\n        ),\n        COUNTROWS(\n            FILTER(\n                ALLSELECTED(dim_vendor),\n                CALCULATE([_Base_LeadToLeaseRate]) &lt; CurrentVendorL2L\n            )\n        )\n    )\n\nVAR TotalVendors = \n    IF(\n        HASONEVALUE(dim_vendor[VendorName]),\n        COUNTROWS(ALL(dim_vendor)),\n        COUNTROWS(ALLSELECTED(dim_vendor))\n    )\n\nRETURN\nIF(\n    ISBLANK(CurrentVendorL2L) || TotalVendors = 0,\n    BLANK(),\n    DIVIDE(VendorsWithLowerL2L, TotalVendors, 0) * 100\n)</t>
  </si>
  <si>
    <t xml:space="preserve">Conversion_CostPerLease_Percentile</t>
  </si>
  <si>
    <t xml:space="preserve">Conversion stage percentile rank of CostPerLease across all vendors (0–100, higher = better).</t>
  </si>
  <si>
    <t xml:space="preserve">07 - VPI\7.1 - Components\7.1.4 - Conversion</t>
  </si>
  <si>
    <t xml:space="preserve">VAR CurrentVendorCPLease =\n    DIVIDE(\n        SUM(fact_marketing_spend_daily[Spend]),\n        CALCULATE(\n            SUM(fact_prospect_journey[AttributedCredit]),\n            fact_prospect_journey[Converted] = TRUE(),\n            USERELATIONSHIP(fact_prospect_journey[VendorKey], dim_vendor[VendorKey])\n        )\n    )\n\nVAR VendorsWithHigherCPLease =\n    IF(\n        HASONEVALUE(dim_vendor[VendorName]),\n        COUNTROWS(\n            FILTER(\n                ALL(dim_vendor),\n                DIVIDE(\n                    CALCULATE(SUM(fact_marketing_spend_daily[Spend])),\n                    CALCULATE(\n                        SUM(fact_prospect_journey[AttributedCredit]),\n                        fact_prospect_journey[Converted] = TRUE(),\n                        USERELATIONSHIP(fact_prospect_journey[VendorKey], dim_vendor[VendorKey])\n                    )\n                ) &gt; CurrentVendorCPLease\n            )\n        ),\n        COUNTROWS(\n            FILTER(\n                ALLSELECTED(dim_vendor),\n                DIVIDE(\n                    CALCULATE(SUM(fact_marketing_spend_daily[Spend])),\n                    CALCULATE(\n                        SUM(fact_prospect_journey[AttributedCredit]),\n                        fact_prospect_journey[Converted] = TRUE(),\n                        USERELATIONSHIP(fact_prospect_journey[VendorKey], dim_vendor[VendorKey])\n                    )\n                ) &gt; CurrentVendorCPLease\n            )\n        )\n    )\n\nVAR TotalVendors =\n    IF(HASONEVALUE(dim_vendor[VendorName]), COUNTROWS(ALL(dim_vendor)), COUNTROWS(ALLSELECTED(dim_vendor)))\n\nRETURN\nIF(\n    ISBLANK(CurrentVendorCPLease) || TotalVendors = 0,\n    BLANK(),\n    DIVIDE(VendorsWithHigherCPLease, TotalVendors, 0) * 100\n)</t>
  </si>
  <si>
    <t xml:space="preserve">Conversion_ImpToLease_Percentile</t>
  </si>
  <si>
    <t xml:space="preserve">Conversion stage percentile rank of ImpToLease across all vendors (0–100, higher = better).</t>
  </si>
  <si>
    <t xml:space="preserve">VAR CurrentVendorI2L =\n    DIVIDE(\n        CALCULATE(\n            SUM(fact_prospect_journey[AttributedCredit]),\n            fact_prospect_journey[Converted] = TRUE(),\n            USERELATIONSHIP(fact_prospect_journey[VendorKey], dim_vendor[VendorKey])\n        ),\n        [Impressions]\n    )\n\nVAR VendorsWithLowerI2L =\n    IF(\n        HASONEVALUE(dim_vendor[VendorName]),\n        COUNTROWS(\n            FILTER(\n                ALL(dim_vendor),\n                DIVIDE(\n                    CALCULATE(\n                        SUM(fact_prospect_journey[AttributedCredit]),\n                        fact_prospect_journey[Converted] = TRUE(),\n                        USERELATIONSHIP(fact_prospect_journey[VendorKey], dim_vendor[VendorKey])\n                    ),\n                    CALCULATE([Impressions])\n                ) &lt; CurrentVendorI2L\n            )\n        ),\n        COUNTROWS(\n            FILTER(\n                ALLSELECTED(dim_vendor),\n                DIVIDE(\n                    CALCULATE(\n                        SUM(fact_prospect_journey[AttributedCredit]),\n                        fact_prospect_journey[Converted] = TRUE(),\n                        USERELATIONSHIP(fact_prospect_journey[VendorKey], dim_vendor[VendorKey])\n                    ),\n                    CALCULATE([Impressions])\n                ) &lt; CurrentVendorI2L\n            )\n        )\n    )\n\nVAR TotalVendors =\n    IF(HASONEVALUE(dim_vendor[VendorName]), COUNTROWS(ALL(dim_vendor)), COUNTROWS(ALLSELECTED(dim_vendor)))\n\nRETURN\nIF(\n    ISBLANK(CurrentVendorI2L) || TotalVendors = 0,\n    BLANK(),\n    DIVIDE(VendorsWithLowerI2L, TotalVendors, 0) * 100\n)</t>
  </si>
  <si>
    <t xml:space="preserve">Conversion_NewLeases_Percentile</t>
  </si>
  <si>
    <t xml:space="preserve">Conversion stage percentile rank of NewLeases across all vendors (0–100, higher = better).</t>
  </si>
  <si>
    <t xml:space="preserve">VAR CurrentVendorLeases = [_Base_NewLeases]\n\nVAR VendorsWithLowerLeases = \n    IF(\n        HASONEVALUE(dim_vendor[VendorName]),\n        COUNTROWS(\n            FILTER(\n                ALL(dim_vendor),\n                CALCULATE([_Base_NewLeases]) &lt; CurrentVendorLeases\n            )\n        ),\n        COUNTROWS(\n            FILTER(\n                ALLSELECTED(dim_vendor),\n                CALCULATE([_Base_NewLeases]) &lt; CurrentVendorLeases\n            )\n        )\n    )\n\nVAR TotalVendors = \n    IF(\n        HASONEVALUE(dim_vendor[VendorName]),\n        COUNTROWS(ALL(dim_vendor)),\n        COUNTROWS(ALLSELECTED(dim_vendor))\n    )\n\nRETURN\nIF(\n    ISBLANK(CurrentVendorLeases) || TotalVendors = 0,\n    BLANK(),\n    DIVIDE(VendorsWithLowerLeases, TotalVendors, 0) * 100\n)</t>
  </si>
  <si>
    <t xml:space="preserve">Conversion_SellRate_Percentile</t>
  </si>
  <si>
    <t xml:space="preserve">Conversion stage percentile rank of SellRate across all vendors (0–100, higher = better).</t>
  </si>
  <si>
    <t xml:space="preserve">\nVAR CurrVal = [Sell Rate]\nVAR VendorsWithLower =\n    IF(\n        HASONEVALUE(dim_vendor[VendorName]),\n        COUNTROWS(FILTER(ALL(dim_vendor), CALCULATE([Sell Rate]) &lt; CurrVal)),\n        COUNTROWS(FILTER(ALLSELECTED(dim_vendor), CALCULATE([Sell Rate]) &lt; CurrVal))\n    )\nVAR TotalVendors =\n    IF(\n        HASONEVALUE(dim_vendor[VendorName]),\n        COUNTROWS(ALL(dim_vendor)),\n        COUNTROWS(ALLSELECTED(dim_vendor))\n    )\nRETURN\nIF(ISBLANK(CurrVal) || TotalVendors = 0, BLANK(), DIVIDE(VendorsWithLower, TotalVendors, 0) * 100)</t>
  </si>
  <si>
    <t xml:space="preserve">Awareness Score</t>
  </si>
  <si>
    <t xml:space="preserve">VPI awareness stage score (0–100) — weighted blend of awareness percentile components.</t>
  </si>
  <si>
    <t xml:space="preserve">07 - VPI\7.2 - KPI</t>
  </si>
  <si>
    <t xml:space="preserve">VAR ImpressionsScore = [Awareness_Impressions_Percentile]\nVAR CTRScore = [Awareness_CTR_Percentile]\nVAR CPCScore = [Awareness_CPC_Percentile]\nVAR C2VScore = [Awareness_ClickToVisit_Percentile]\n\nVAR ValidScores = \n    IF(NOT(ISBLANK(ImpressionsScore)), 1, 0) +\n    IF(NOT(ISBLANK(CTRScore)), 1, 0) +\n    IF(NOT(ISBLANK(CPCScore)), 1, 0) +\n    IF(NOT(ISBLANK(C2VScore)), 1, 0)\n\nRETURN\nIF(\n    ValidScores = 0,\n    BLANK(),\n    (\n        IF(ISBLANK(ImpressionsScore), 0, ImpressionsScore * 0.25) +\n        IF(ISBLANK(CTRScore), 0, CTRScore * 0.25) +\n        IF(ISBLANK(CPCScore), 0, CPCScore * 0.25) +\n        IF(ISBLANK(C2VScore), 0, C2VScore * 0.25)\n    )\n)</t>
  </si>
  <si>
    <t xml:space="preserve">Awareness_Rank_Fixed</t>
  </si>
  <si>
    <t xml:space="preserve">VAR CurrentScore = [Awareness Score]\n\nRETURN\nIF(\n    ISBLANK(CurrentScore),\n    BLANK(),\n    RANKX(\n        ALL(dim_vendor),\n        [Awareness Score],\n        ,\n        DESC,\n        DENSE\n    )\n)</t>
  </si>
  <si>
    <t xml:space="preserve">Awareness_Score_Fixed</t>
  </si>
  <si>
    <t xml:space="preserve">VAR ImpressionsScore = [Awareness_Impressions_Percentile_Fixed]\nVAR CTRScore = [Awareness_CTR_Percentile]\nVAR CPCScore = [Awareness_CPC_Percentile]\nVAR C2VScore = [Awareness_ClickToVisit_Percentile]\n\nVAR ValidScores = \n    IF(NOT(ISBLANK(ImpressionsScore)), 1, 0) +\n    IF(NOT(ISBLANK(CTRScore)), 1, 0) +\n    IF(NOT(ISBLANK(CPCScore)), 1, 0) +\n    IF(NOT(ISBLANK(C2VScore)), 1, 0)\n\nRETURN\nIF(\n    ValidScores = 0,\n    BLANK(),\n    (\n        IF(ISBLANK(ImpressionsScore), 0, ImpressionsScore * 0.25) +\n        IF(ISBLANK(CTRScore), 0, CTRScore * 0.25) +\n        IF(ISBLANK(CPCScore), 0, CPCScore * 0.25) +\n        IF(ISBLANK(C2VScore), 0, C2VScore * 0.25)\n    )\n)</t>
  </si>
  <si>
    <t xml:space="preserve">Awareness_Status</t>
  </si>
  <si>
    <t xml:space="preserve">VAR Score = [Awareness Score]\nRETURN\nIF(\n    ISBLANK(Score), "No Data",\n    IF(Score &gt;= 75, "Top Performer",\n    IF(Score &gt;= 50, "Performing",\n    IF(Score &gt;= 25, "Needs Attention",\n    "At Risk")))\n)</t>
  </si>
  <si>
    <t xml:space="preserve">Awareness_Status_Color</t>
  </si>
  <si>
    <t xml:space="preserve">VAR Score = [Awareness Score]\nRETURN\nIF(\n    ISBLANK(Score), "#555555",\n    IF(Score &gt;= 75, "#2ECC71",\n    IF(Score &gt;= 50, "#F1C40F",\n    IF(Score &gt;= 25, "#E67E22",\n    "#E74C3C")))\n)</t>
  </si>
  <si>
    <t xml:space="preserve">Consideration Score</t>
  </si>
  <si>
    <t xml:space="preserve">VPI consideration stage score (0–100) — weighted blend of consideration percentile components.</t>
  </si>
  <si>
    <t xml:space="preserve">VAR VisitsScore = [Consideration_Visits_Percentile]\nVAR CPVScore = [Consideration_CPV_Percentile]\nVAR V2LScore = [Consideration_VisitToLead_Percentile]\n\nVAR ValidScores = \n    IF(NOT(ISBLANK(VisitsScore)), 1, 0) +\n    IF(NOT(ISBLANK(CPVScore)), 1, 0) +\n    IF(NOT(ISBLANK(V2LScore)), 1, 0)\n\nRETURN\nIF(\n    ValidScores = 0,\n    BLANK(),\n    (\n        IF(ISBLANK(VisitsScore), 0, VisitsScore * 0.33) +\n        IF(ISBLANK(CPVScore), 0, CPVScore * 0.34) +\n        IF(ISBLANK(V2LScore), 0, V2LScore * 0.33)\n    )\n)</t>
  </si>
  <si>
    <t xml:space="preserve">Consideration_Rank_Fixed</t>
  </si>
  <si>
    <t xml:space="preserve">VAR CurrentScore = [Consideration Score]\n\nRETURN\nIF(\n    ISBLANK(CurrentScore),\n    BLANK(),\n    RANKX(\n        ALL(dim_vendor),\n        [Consideration Score],\n        ,\n        DESC,\n        DENSE\n    )\n)</t>
  </si>
  <si>
    <t xml:space="preserve">Consideration_Status</t>
  </si>
  <si>
    <t xml:space="preserve">VAR Score = [Consideration Score]\nRETURN\nIF(\n    ISBLANK(Score), "No Data",\n    IF(Score &gt;= 75, "Top Performer",\n    IF(Score &gt;= 50, "Performing",\n    IF(Score &gt;= 25, "Needs Attention",\n    "At Risk")))\n)</t>
  </si>
  <si>
    <t xml:space="preserve">Consideration_Status_Color</t>
  </si>
  <si>
    <t xml:space="preserve">VAR Score = [Consideration Score]\nRETURN\nIF(\n    ISBLANK(Score), "#555555",\n    IF(Score &gt;= 75, "#2ECC71",\n    IF(Score &gt;= 50, "#F1C40F",\n    IF(Score &gt;= 25, "#E67E22",\n    "#E74C3C")))\n)</t>
  </si>
  <si>
    <t xml:space="preserve">Conversion Score</t>
  </si>
  <si>
    <t xml:space="preserve">VPI conversion stage score (0–100) — weighted blend of conversion percentile components.</t>
  </si>
  <si>
    <t xml:space="preserve">\nVAR s1 = [Conversion_NewLeases_Percentile]\nVAR s2 = [Conversion_CostPerLease_Percentile]\nVAR s3 = [Conversion_ImpToLease_Percentile]\nVAR s4 = [Conversion_SellRate_Percentile]\nVAR ValidScores =\n    IF(NOT ISBLANK(s1), 1, 0) + IF(NOT ISBLANK(s2), 1, 0) +\n    IF(NOT ISBLANK(s3), 1, 0) + IF(NOT ISBLANK(s4), 1, 0)\nRETURN\nIF(\n    ValidScores = 0, BLANK(),\n    IF(ISBLANK(s1), 0, s1 * 0.25) + IF(ISBLANK(s2), 0, s2 * 0.25) +\n    IF(ISBLANK(s3), 0, s3 * 0.25) + IF(ISBLANK(s4), 0, s4 * 0.25)\n)</t>
  </si>
  <si>
    <t xml:space="preserve">Conversion_Rank_Fixed</t>
  </si>
  <si>
    <t xml:space="preserve">VAR CurrentScore = [Conversion Score]\n\nRETURN\nIF(\n    ISBLANK(CurrentScore),\n    BLANK(),\n    RANKX(\n        ALL(dim_vendor),\n        [Conversion Score],\n        ,\n        DESC,\n        DENSE\n    )\n)</t>
  </si>
  <si>
    <t xml:space="preserve">Conversion_Status</t>
  </si>
  <si>
    <t xml:space="preserve">VAR Score = [Conversion Score]\nRETURN\nIF(\n    ISBLANK(Score), "No Data",\n    IF(Score &gt;= 75, "Top Performer",\n    IF(Score &gt;= 50, "Performing",\n    IF(Score &gt;= 25, "Needs Attention",\n    "At Risk")))\n)</t>
  </si>
  <si>
    <t xml:space="preserve">Conversion_Status_Color</t>
  </si>
  <si>
    <t xml:space="preserve">VAR Score = [Conversion Score]\nRETURN\nIF(\n    ISBLANK(Score), "#555555",\n    IF(Score &gt;= 75, "#2ECC71",\n    IF(Score &gt;= 50, "#F1C40F",\n    IF(Score &gt;= 25, "#E67E22",\n    "#E74C3C")))\n)</t>
  </si>
  <si>
    <t xml:space="preserve">Evaluation Score</t>
  </si>
  <si>
    <t xml:space="preserve">VPI evaluation stage score (0–100) — weighted blend of evaluation percentile components.</t>
  </si>
  <si>
    <t xml:space="preserve">VAR LeadsScore = [Evaluation_Leads_Percentile]\nVAR CPLScore = [Evaluation_CPL_Percentile]\nVAR L2LScore = [Evaluation_LeadToLease_Percentile]\n\nVAR ValidScores = \n    IF(NOT(ISBLANK(LeadsScore)), 1, 0) +\n    IF(NOT(ISBLANK(CPLScore)), 1, 0) +\n    IF(NOT(ISBLANK(L2LScore)), 1, 0)\n\nRETURN\nIF(\n    ValidScores = 0,\n    BLANK(),\n    (\n        IF(ISBLANK(LeadsScore), 0, LeadsScore * 0.33) +\n        IF(ISBLANK(CPLScore), 0, CPLScore * 0.34) +\n        IF(ISBLANK(L2LScore), 0, L2LScore * 0.33)\n    )\n)</t>
  </si>
  <si>
    <t xml:space="preserve">Evaluation_Rank_Fixed</t>
  </si>
  <si>
    <t xml:space="preserve">VAR CurrentScore = [Evaluation Score]\n\nRETURN\nIF(\n    ISBLANK(CurrentScore),\n    BLANK(),\n    RANKX(\n        ALL(dim_vendor),\n        [Evaluation Score],\n        ,\n        DESC,\n        DENSE\n    )\n)</t>
  </si>
  <si>
    <t xml:space="preserve">Evaluation_Status</t>
  </si>
  <si>
    <t xml:space="preserve">VAR Score = [Evaluation Score]\nRETURN\nIF(\n    ISBLANK(Score), "No Data",\n    IF(Score &gt;= 75, "Top Performer",\n    IF(Score &gt;= 50, "Performing",\n    IF(Score &gt;= 25, "Needs Attention",\n    "At Risk")))\n)</t>
  </si>
  <si>
    <t xml:space="preserve">Evaluation_Status_Color</t>
  </si>
  <si>
    <t xml:space="preserve">VAR Score = [Evaluation Score]\nRETURN\nIF(\n    ISBLANK(Score), "#555555",\n    IF(Score &gt;= 75, "#2ECC71",\n    IF(Score &gt;= 50, "#F1C40F",\n    IF(Score &gt;= 25, "#E67E22",\n    "#E74C3C")))\n)</t>
  </si>
  <si>
    <t xml:space="preserve">Property_Vendor_Signal</t>
  </si>
  <si>
    <t xml:space="preserve">\nVAR VendorTable =\n    ADDCOLUMNS(\n        VALUES('dim_vendor'[VendorKey]),\n        "__VendorScore", [Vendor Performance Index],\n        "__Spend", [Marketing Spend]\n    )\nRETURN\n    DIVIDE(\n        SUMX(VendorTable, [__VendorScore] * [__Spend]),\n        SUMX(VendorTable, [__Spend])\n    )</t>
  </si>
  <si>
    <t xml:space="preserve">Top Channel – Score</t>
  </si>
  <si>
    <t xml:space="preserve">\nVAR TopRow =\n    TOPN(\n        1,\n        ALLSELECTED('dim_vendor'[ChannelName]),\n        [Vendor Performance Index],\n        DESC\n    )\nRETURN\n    CONCATENATEX(\n        TopRow,\n        'dim_vendor'[ChannelName]\n            &amp; " - "\n            &amp; FORMAT([Vendor Performance Index], "0.0")\n    )\n</t>
  </si>
  <si>
    <t xml:space="preserve">Top Vendor – Score</t>
  </si>
  <si>
    <t xml:space="preserve">\nVAR TopRow =\n    TOPN(\n        1,\n        ALLSELECTED('dim_vendor'[VendorName]),\n        [Vendor Performance Index],\n        DESC\n    )\nRETURN\n    CONCATENATEX(\n        TopRow,\n        'dim_vendor'[VendorName]\n            &amp; " - "\n            &amp; FORMAT([Vendor Performance Index], "0.0")\n    )\n</t>
  </si>
  <si>
    <t xml:space="preserve">Vendor Count (Filtered)</t>
  </si>
  <si>
    <t xml:space="preserve">COUNTROWS(ALLSELECTED(dim_vendor))</t>
  </si>
  <si>
    <t xml:space="preserve">Vendor Count (Portfolio)</t>
  </si>
  <si>
    <t xml:space="preserve">COUNTROWS(ALL(dim_vendor))</t>
  </si>
  <si>
    <t xml:space="preserve">VPI Average Score</t>
  </si>
  <si>
    <t xml:space="preserve">\nCALCULATE(\n    AVERAGEX(\n        VALUES(dim_vendor[VendorName]),\n        [Vendor Performance Index]\n    ),\n    ALL(dim_vendor)\n)</t>
  </si>
  <si>
    <t xml:space="preserve">VPI Score (Stars)</t>
  </si>
  <si>
    <t xml:space="preserve">\nVAR Score = [Vendor Performance Index]\nRETURN\nIF(\n    ISBLANK(Score), BLANK(),\n    FORMAT(Score, "0") &amp; " " &amp;\n    SWITCH(\n        TRUE(),\n        Score &gt;= 75, "★★★★★",\n        Score &gt;= 60, "★★★★☆",\n        Score &gt;= 48, "★★★☆☆",\n        Score &gt;= 35, "★★☆☆☆",\n        "★☆☆☆☆"\n    )\n)</t>
  </si>
  <si>
    <t xml:space="preserve">VPI Stage Score Range</t>
  </si>
  <si>
    <t xml:space="preserve">VAR MaxStage = [VPI Strongest Stage Score]\nVAR MinStage = [VPI Weakest Stage Score]\n\nRETURN\nIF(\n    ISBLANK(MaxStage) || ISBLANK(MinStage),\n    BLANK(),\n    MaxStage - MinStage\n)</t>
  </si>
  <si>
    <t xml:space="preserve">VPI Stage Scores Summary</t>
  </si>
  <si>
    <t xml:space="preserve">VAR A = [Awareness Score]\nVAR C = [Consideration Score]\nVAR E = [Evaluation Score]\nVAR V = [Conversion Score]\n\nRETURN\n"A:" &amp; IF(ISBLANK(A), "--", FORMAT(A, "0")) &amp; \n" | C:" &amp; IF(ISBLANK(C), "--", FORMAT(C, "0")) &amp;\n" | E:" &amp; IF(ISBLANK(E), "--", FORMAT(E, "0")) &amp;\n" | V:" &amp; IF(ISBLANK(V), "--", FORMAT(V, "0"))</t>
  </si>
  <si>
    <t xml:space="preserve">VPI Strongest Area</t>
  </si>
  <si>
    <t xml:space="preserve">\nVAR StrongestStage = [VPI Strongest Stage]\n\n-- Get the top metric from each stage\nVAR AwarenessTopMetric = [Awareness_Top_Metric]\nVAR ConsiderationTopMetric = [Consideration_Top_Metric]\nVAR EvaluationTopMetric = [Evaluation_Top_Metric]\nVAR ConversionTopMetric = [Conversion_Top_Metric]\n\n-- Determine which metric to show based on strongest stage\nVAR TopMetricInStage = \n    SWITCH(\n        StrongestStage,\n        "Awareness", AwarenessTopMetric,\n        "Consideration", ConsiderationTopMetric,\n        "Evaluation", EvaluationTopMetric,\n        "Conversion", ConversionTopMetric,\n        BLANK()\n    )\n\nRETURN\nIF(\n    ISBLANK(StrongestStage),\n    BLANK(),\n    TopMetricInStage\n)</t>
  </si>
  <si>
    <t xml:space="preserve">VPI Strongest Stage</t>
  </si>
  <si>
    <t xml:space="preserve">VAR AwarenessScore = [Awareness Score]\nVAR ConsiderationScore = [Consideration Score]\nVAR EvaluationScore = [Evaluation Score]\nVAR ConversionScore = [Conversion Score]\n\nVAR MaxScore = \n    MAX(\n        AwarenessScore,\n        MAX(\n            ConsiderationScore,\n            MAX(EvaluationScore, ConversionScore)\n        )\n    )\n\nRETURN\nSWITCH(\n    TRUE(),\n    MaxScore = AwarenessScore, "Awareness",\n    MaxScore = ConsiderationScore, "Consideration",\n    MaxScore = EvaluationScore, "Evaluation",\n    MaxScore = ConversionScore, "Conversion",\n    BLANK()\n)</t>
  </si>
  <si>
    <t xml:space="preserve">VPI Strongest Stage Score</t>
  </si>
  <si>
    <t xml:space="preserve">VAR AwarenessScore = [Awareness Score]\nVAR ConsiderationScore = [Consideration Score]\nVAR EvaluationScore = [Evaluation Score]\nVAR ConversionScore = [Conversion Score]\n\nRETURN\nMAX(\n    AwarenessScore,\n    MAX(\n        ConsiderationScore,\n        MAX(EvaluationScore, ConversionScore)\n    )\n)</t>
  </si>
  <si>
    <t xml:space="preserve">VPI Weakest Area</t>
  </si>
  <si>
    <t xml:space="preserve">\nVAR WeakestStage = [VPI Weakest Stage]\n\nVAR WeakestMetricInStage = \n    SWITCH(\n        WeakestStage,\n        "Awareness", [Awareness_Weakest_Metric],\n        "Consideration", [Consideration_Weakest_Metric],\n        "Evaluation", [Evaluation_Weakest_Metric],\n        "Conversion", [Conversion_Weakest_Metric],\n        BLANK()\n    )\n\nRETURN\nIF(\n    ISBLANK(WeakestStage),\n    BLANK(),\n    WeakestMetricInStage\n)</t>
  </si>
  <si>
    <t xml:space="preserve">VPI Weakest Stage</t>
  </si>
  <si>
    <t xml:space="preserve">VAR AwarenessScore = [Awareness Score]\nVAR ConsiderationScore = [Consideration Score]\nVAR EvaluationScore = [Evaluation Score]\nVAR ConversionScore = [Conversion Score]\n\nVAR MinScore = \n    MIN(\n        AwarenessScore,\n        MIN(\n            ConsiderationScore,\n            MIN(EvaluationScore, ConversionScore)\n        )\n    )\n\nRETURN\nSWITCH(\n    TRUE(),\n    MinScore = AwarenessScore, "Awareness",\n    MinScore = ConsiderationScore, "Consideration",\n    MinScore = EvaluationScore, "Evaluation",\n    MinScore = ConversionScore, "Conversion",\n    BLANK()\n)</t>
  </si>
  <si>
    <t xml:space="preserve">VPI Weakest Stage Score</t>
  </si>
  <si>
    <t xml:space="preserve">VAR AwarenessScore = [Awareness Score]\nVAR ConsiderationScore = [Consideration Score]\nVAR EvaluationScore = [Evaluation Score]\nVAR ConversionScore = [Conversion Score]\n\nRETURN\nMIN(\n    AwarenessScore,\n    MIN(\n        ConsiderationScore,\n        MIN(EvaluationScore, ConversionScore)\n    )\n)</t>
  </si>
  <si>
    <t xml:space="preserve">VPI_Average_Index All_Vendors</t>
  </si>
  <si>
    <t xml:space="preserve">VPI_Star_Rating</t>
  </si>
  <si>
    <t xml:space="preserve">\nVAR Score = [Vendor Performance Index]\n\nRETURN\nSWITCH(\n    TRUE(),\n    ISBLANK(Score), "",\n    Score &gt;= 80, "★★★★★",\n    Score &gt;= 60, "★★★★☆",\n    Score &gt;= 40, "★★★☆☆",\n    Score &gt;= 20, "★★☆☆☆",\n    "★☆☆☆☆"\n)</t>
  </si>
  <si>
    <t xml:space="preserve">Awareness Rank</t>
  </si>
  <si>
    <t xml:space="preserve">Ordinal rank of vendor within this VPI stage.</t>
  </si>
  <si>
    <t xml:space="preserve">07 - VPI\7.3 - Score\7.3.1 - Final Score</t>
  </si>
  <si>
    <t xml:space="preserve">VAR CurrentScore = [Awareness Score]\n\nRETURN\nIF(\n    ISBLANK(CurrentScore),\n    BLANK(),\n    IF(\n        HASONEVALUE(dim_vendor[VendorName]),\n        RANKX(ALL(dim_vendor), [Awareness Score], , DESC, DENSE),\n        RANKX(ALLSELECTED(dim_vendor), [Awareness Score], , DESC, DENSE)\n    )\n)</t>
  </si>
  <si>
    <t xml:space="preserve">Channel Score</t>
  </si>
  <si>
    <t xml:space="preserve">Channel-level roll-up of the VPI vendor score.</t>
  </si>
  <si>
    <t xml:space="preserve">\n\nVAR CurrentChannel = SELECTEDVALUE('dim_vendor'[ChannelName])\n\n/* Get current channel values for all 4 metrics */\nVAR CPC_Channel = [Cost per Click]\nVAR CTR_Channel = [CTR %]\nVAR CPL_Channel = [Cost per Lease (Actual)]\nVAR L2L_Channel = [Lead-to-Lease % (Actual)]\n\n/* Calculate overall averages (baseline) across all channels */\nVAR CPC_Avg = \n    CALCULATE(\n        AVERAGEX(VALUES('dim_vendor'[ChannelName]), [Cost per Click]),\n        REMOVEFILTERS('dim_vendor'[ChannelName])\n    )\n\nVAR CTR_Avg = \n    CALCULATE(\n        AVERAGEX(VALUES('dim_vendor'[ChannelName]), [CTR %]),\n        REMOVEFILTERS('dim_vendor'[ChannelName])\n    )\n\nVAR CPL_Avg = \n    CALCULATE(\n        AVERAGEX(VALUES('dim_vendor'[ChannelName]), [Cost per Lease (Actual)]),\n        REMOVEFILTERS('dim_vendor'[ChannelName])\n    )\n\nVAR L2L_Avg = \n    CALCULATE(\n        AVERAGEX(VALUES('dim_vendor'[ChannelName]), [Lead-to-Lease % (Actual)]),\n        REMOVEFILTERS('dim_vendor'[ChannelName])\n    )\n\n/* Create indices - direction matters! */\n// CPC: COST - Lower is better (Average / Channel)\nVAR CPC_Index = DIVIDE(CPC_Avg, CPC_Channel, BLANK())\n\n// CTR: RATE - Higher is better (Channel / Average)\nVAR CTR_Index = DIVIDE(CTR_Channel, CTR_Avg, BLANK())\n\n// CPL: COST - Lower is better (Average / Channel)\nVAR CPL_Index = DIVIDE(CPL_Avg, CPL_Channel, BLANK())\n\n// L2L: CONVERSION - Higher is better (Channel / Average)\nVAR L2L_Index = DIVIDE(L2L_Channel, L2L_Avg, BLANK())\n\n/* Apply weights - adjust based on business priority */\nVAR Weight_CPC = 0.15   // 20% - Cost per Click\nVAR Weight_CTR = 0.15   // 20% - Click-through Rate\nVAR Weight_CPL = 0.35   // 30% - Cost per Lease (most important cost)\nVAR Weight_L2L = 0.35   // 30% - Lead-to-Lease (most important conversion)\n\n/* Calculate weighted composite */\nVAR CompositeIndex = \n    (CPC_Index * Weight_CPC) +\n    (CTR_Index * Weight_CTR) +\n    (CPL_Index * Weight_CPL) +\n    (L2L_Index * Weight_L2L)\n\n/* Return as p ... [truncated]</t>
  </si>
  <si>
    <t xml:space="preserve">Channel Vendor Rank</t>
  </si>
  <si>
    <t xml:space="preserve">\nVAR _Selection =\n    SELECTEDVALUE('Parameter Chanel Vendor View'[Chanel Vendor View Order], 0)\nRETURN\nSWITCH(\n    _Selection,\n    0, [Vendor Performance Channel Rank],\n    1, [Vendor Rank],\n    BLANK()\n)</t>
  </si>
  <si>
    <t xml:space="preserve">Consideration Rank</t>
  </si>
  <si>
    <t xml:space="preserve">VAR CurrentScore = [Consideration Score]\n\nRETURN\nIF(\n    ISBLANK(CurrentScore),\n    BLANK(),\n    IF(\n        HASONEVALUE(dim_vendor[VendorName]),\n        RANKX(ALL(dim_vendor), [Consideration Score], , DESC, DENSE),\n        RANKX(ALLSELECTED(dim_vendor), [Consideration Score], , DESC, DENSE)\n    )\n)</t>
  </si>
  <si>
    <t xml:space="preserve">Conversion Rank</t>
  </si>
  <si>
    <t xml:space="preserve">VAR CurrentScore = [Conversion Score]\n\nRETURN\nIF(\n    ISBLANK(CurrentScore),\n    BLANK(),\n    IF(\n        HASONEVALUE(dim_vendor[VendorName]),\n        RANKX(ALL(dim_vendor), [Conversion Score], , DESC, DENSE),\n        RANKX(ALLSELECTED(dim_vendor), [Conversion Score], , DESC, DENSE)\n    )\n)</t>
  </si>
  <si>
    <t xml:space="preserve">Evaluation Rank</t>
  </si>
  <si>
    <t xml:space="preserve">VAR CurrentScore = [Evaluation Score]\n\nRETURN\nIF(\n    ISBLANK(CurrentScore),\n    BLANK(),\n    IF(\n        HASONEVALUE(dim_vendor[VendorName]),\n        RANKX(ALL(dim_vendor), [Evaluation Score], , DESC, DENSE),\n        RANKX(ALLSELECTED(dim_vendor), [Evaluation Score], , DESC, DENSE)\n    )\n)</t>
  </si>
  <si>
    <t xml:space="preserve">Vendor Performance Channel Rank</t>
  </si>
  <si>
    <t xml:space="preserve">\nVAR CurrentScore = [Vendor Performance Index]\n\nVAR ChannelSnapshot =\n    ADDCOLUMNS(\n        ALLSELECTED('dim_vendor'[ChannelName]),\n        "@Score", CALCULATE([Vendor Performance Index])\n    )\n\nVAR FilteredSnapshot =\n    FILTER(ChannelSnapshot, NOT ISBLANK([@Score]) &amp;&amp; [@Score] &gt; 0)\n\nVAR ChannelRank =\n    COUNTROWS(FILTER(FilteredSnapshot, [@Score] &gt; CurrentScore)) + 1\n\nRETURN\nIF(\n    ISBLANK(CurrentScore),\n    BLANK(),\n    ChannelRank\n)</t>
  </si>
  <si>
    <t xml:space="preserve">Vendor Performance Index</t>
  </si>
  <si>
    <t xml:space="preserve">\n\nVAR ScoreSnapshot =\n    ADDCOLUMNS(\n        ALL(dim_vendor[VendorKey]),\n        "@Key",   dim_vendor[VendorKey],\n        "@Score", CALCULATE([_VPI_SingleVendor_Score]),\n        "@Spend", CALCULATE([Marketing Spend])\n    )\n\nVAR ValidSnapshot =\n    FILTER(ScoreSnapshot, NOT ISBLANK([@Score]))\n\nRETURN\nIF(\n    HASONEVALUE(dim_vendor[VendorKey]),\n\n    -- Single vendor — look up from snapshot\n    VAR ThisKey = SELECTEDVALUE(dim_vendor[VendorKey])\n    RETURN\n    MAXX(\n        FILTER(ValidSnapshot, [@Key] = ThisKey),\n        [@Score]\n    ),\n\n    -- Channel rollup — spend-weighted avg\n    VAR ValidWithSpend =\n        FILTER(ValidSnapshot, [@Spend] &gt; 0)\n    RETURN\n    IF(\n        COUNTROWS(ValidWithSpend) = 0,\n        BLANK(),\n        DIVIDE(\n            SUMX(ValidWithSpend, [@Score] * [@Spend]),\n            SUMX(ValidWithSpend, [@Spend])\n        )\n    )\n)</t>
  </si>
  <si>
    <t xml:space="preserve">Vendor Rank</t>
  </si>
  <si>
    <t xml:space="preserve">Overall rank of vendors by composite VPI score.</t>
  </si>
  <si>
    <t xml:space="preserve">\nIF(\n    HASONEVALUE('dim_vendor'[VendorName]),\n    RANKX(\n        ALL('dim_vendor'[VendorName]),\n        [Vendor Score for Ranking]\n    ),\n    BLANK()\n)</t>
  </si>
  <si>
    <t xml:space="preserve">Vendor Rank (Within Channel)</t>
  </si>
  <si>
    <t xml:space="preserve">Rank of vendor against peers within the same channel.</t>
  </si>
  <si>
    <t xml:space="preserve">\nVAR CurrentChannel = SELECTEDVALUE('dim_vendor'[ChannelName])\n\nRETURN\nIF(\n    HASONEVALUE('dim_vendor'[VendorName]) &amp;&amp; NOT ISBLANK(CurrentChannel),\n    RANKX(\n        FILTER(\n            ALL('dim_vendor'[VendorName]),\n            CALCULATE(\n                SELECTEDVALUE('dim_vendor'[ChannelName]),\n                ALLEXCEPT('dim_vendor', 'dim_vendor'[VendorName])\n            ) = CurrentChannel\n        ),\n        [Vendor Score for Ranking],\n        ,\n        DESC,\n        DENSE\n    ),\n    BLANK()\n)\n</t>
  </si>
  <si>
    <t xml:space="preserve">Vendor Score</t>
  </si>
  <si>
    <t xml:space="preserve">Composite VPI Vendor Score (0–100): weighted average of the 4 funnel-stage scores (Awareness 15%, Consideration 20%, Evaluation 25%, Conversion 40%).</t>
  </si>
  <si>
    <t xml:space="preserve">VAR IsPaid = [Is Paid Channel]\n\nVAR CPL_Val = [Cost per Lease (Actual)]\nVAR L2L_Val = [Lead-to-Lease % (Actual)]\nVAR CPC_Val = [Cost per Click]\nVAR CTR_Val = [CTR %]\n\nVAR CPL_Avg =\n    CALCULATE(\n        AVERAGEX(VALUES('dim_vendor'[VendorName]), [Cost per Lease (Actual)]),\n        REMOVEFILTERS('dim_vendor'[VendorName])\n    )\nVAR L2L_Avg =\n    CALCULATE(\n        AVERAGEX(VALUES('dim_vendor'[VendorName]), [Lead-to-Lease % (Actual)]),\n        REMOVEFILTERS('dim_vendor'[VendorName])\n    )\nVAR CPC_Avg =\n    CALCULATE(\n        AVERAGEX(VALUES('dim_vendor'[VendorName]), [Cost per Click]),\n        REMOVEFILTERS('dim_vendor'[VendorName])\n    )\nVAR CTR_Avg =\n    CALCULATE(\n        AVERAGEX(VALUES('dim_vendor'[VendorName]), [CTR %]),\n        REMOVEFILTERS('dim_vendor'[VendorName])\n    )\n\nVAR CPL_Index =\n    IF(NOT ISBLANK(CPL_Val) &amp;&amp; CPL_Val &gt; 0,\n        MIN(DIVIDE(CPL_Avg, CPL_Val), 2.0), BLANK())\nVAR CPC_Index =\n    IF(NOT ISBLANK(CPC_Val) &amp;&amp; CPC_Val &gt; 0,\n        MIN(DIVIDE(CPC_Avg, CPC_Val), 2.0), BLANK())\nVAR L2L_Index =\n    IF(NOT ISBLANK(L2L_Val),\n        MIN(DIVIDE(L2L_Val, L2L_Avg), 2.0), BLANK())\nVAR CTR_Index =\n    IF(NOT ISBLANK(CTR_Val),\n        MIN(DIVIDE(CTR_Val, CTR_Avg), 2.0), BLANK())\n\n// Fixed weights: 0.45 + 0.40 + 0.05 + 0.10 = 1.00\nVAR W_CPL = 0.45\nVAR W_L2L = 0.40\nVAR W_CPC = 0.05\nVAR W_CTR = 0.10\n\nVAR CPC_Final = IF(IsPaid, CPC_Index, 1)\nVAR CTR_Final = IF(IsPaid, CTR_Index, 1)\n\nVAR Composite01 =\n    (CPL_Index * W_CPL) +\n    (L2L_Index * W_L2L) +\n    (CPC_Final * W_CPC) +\n    (CTR_Final * W_CTR)\n\n// Re-center: avg vendor (composite=1.0) = 50, max (composite=2.0) = 100\nVAR ScaledScore = MIN((Composite01 / 2.0) * 100, 100)\n\nRETURN\nIF(\n    ISBLANK(CPL_Index) || ISBLANK(L2L_Index),\n    BLANK(),\n    ScaledScore\n)</t>
  </si>
  <si>
    <t xml:space="preserve">Vendor Score for Ranking</t>
  </si>
  <si>
    <t xml:space="preserve">Non-blank vendor score used as the ranking input (avoids ties on blanks).</t>
  </si>
  <si>
    <t xml:space="preserve">\nCALCULATE(\n    [Vendor Score],\n    ALLEXCEPT(\n        'dim_vendor',\n        'dim_vendor'[VendorName]\n    )\n)</t>
  </si>
  <si>
    <t xml:space="preserve">VPI Channel Rank</t>
  </si>
  <si>
    <t xml:space="preserve">\nVAR HasSingleVendor = HASONEVALUE(dim_vendor[VendorKey])\nVAR CurrentScore = [Vendor Performance Index]\nVAR CurrentChannel = SELECTEDVALUE(dim_vendor[ChannelKey])\n\nVAR ChannelSnapshot =\n    ADDCOLUMNS(\n        FILTER(\n            ALL(dim_vendor[VendorKey], dim_vendor[ChannelKey]),\n            dim_vendor[ChannelKey] = CurrentChannel\n        ),\n        "@Score",\n        CALCULATE([Vendor Performance Index])\n    )\n\nVAR FilteredSnapshot =\n    FILTER(ChannelSnapshot, NOT ISBLANK([@Score]))\n\nVAR VendorRank =\n    COUNTROWS(FILTER(FilteredSnapshot, [@Score] &gt; CurrentScore)) + 1\n\nRETURN\nIF(\n    NOT HasSingleVendor || ISBLANK(CurrentScore) || ISBLANK(CurrentChannel),\n    BLANK(),\n    VendorRank\n)</t>
  </si>
  <si>
    <t xml:space="preserve">VPI Channel Rank Display</t>
  </si>
  <si>
    <t xml:space="preserve">\nVAR HasSingleVendor = HASONEVALUE(dim_vendor[VendorKey])\nVAR CurrentScore = [Vendor Performance Index]\nVAR CurrentChannel = SELECTEDVALUE(dim_vendor[ChannelKey])\n\nVAR ChannelSnapshot =\n    ADDCOLUMNS(\n        FILTER(\n            ALL(dim_vendor[VendorKey], dim_vendor[ChannelKey]),\n            dim_vendor[ChannelKey] = CurrentChannel\n        ),\n        "@Score",\n        CALCULATE([Vendor Performance Index])\n    )\n\nVAR FilteredSnapshot =\n    FILTER(ChannelSnapshot, NOT ISBLANK([@Score]))\n\nVAR VendorRank =\n    COUNTROWS(FILTER(FilteredSnapshot, [@Score] &gt; CurrentScore)) + 1\n\nVAR TotalInChannel =\n    COUNTROWS(FilteredSnapshot)\n\nRETURN\nIF(\n    NOT HasSingleVendor || ISBLANK(CurrentScore) || ISBLANK(CurrentChannel) || TotalInChannel = 0,\n    BLANK(),\n    FORMAT(VendorRank, "0") &amp; " of " &amp; FORMAT(TotalInChannel, "0")\n)</t>
  </si>
  <si>
    <t xml:space="preserve">VPI Portfolio Rank</t>
  </si>
  <si>
    <t xml:space="preserve">\nVAR HasSingleVendor = HASONEVALUE(dim_vendor[VendorKey])\nVAR CurrentScore = [Vendor Performance Index]\n\n-- Use ALLSELECTED instead of ALL to avoid re-expanding \n-- the full date table per vendor in the snapshot\nVAR ScoreSnapshot =\n    ADDCOLUMNS(\n        ALLSELECTED(dim_vendor[VendorKey]),\n        "@Score",\n        CALCULATE([Vendor Performance Index])\n    )\n\nVAR FilteredSnapshot =\n    FILTER(ScoreSnapshot, NOT ISBLANK([@Score]))\n\nVAR VendorRank =\n    COUNTROWS(FILTER(FilteredSnapshot, [@Score] &gt; CurrentScore)) + 1\n\nVAR Total =\n    COUNTROWS(FilteredSnapshot)\n\nRETURN\nIF(\n    NOT HasSingleVendor || ISBLANK(CurrentScore) || Total = 0,\n    BLANK(),\n    "#" &amp; FORMAT(VendorRank, "0") &amp; " of " &amp; FORMAT(Total, "0")\n)</t>
  </si>
  <si>
    <t xml:space="preserve">VPI Rank</t>
  </si>
  <si>
    <t xml:space="preserve">VAR CurrentScore = [Vendor Performance Index]\n\nRETURN\nIF(\n    ISBLANK(CurrentScore),\n    BLANK(),\n    IF(\n        HASONEVALUE(dim_vendor[VendorName]),\n        RANKX(ALL(dim_vendor), [Vendor Performance Index], , DESC, DENSE),\n        RANKX(ALLSELECTED(dim_vendor), [Vendor Performance Index], , DESC, DENSE)\n    )\n)</t>
  </si>
  <si>
    <t xml:space="preserve">VPI Rank (Fixed)</t>
  </si>
  <si>
    <t xml:space="preserve">\nIF(\n    NOT HASONEVALUE(dim_vendor[VendorKey]),\n    BLANK(),\n    VAR CurrentScore = [Vendor Performance Index]\n    \n    -- Pre-snapshot all vendor scores into a static table variable ONCE\n    -- This prevents _ScoringDateRange from re-evaluating per RANKX row\n    VAR ScoreSnapshot =\n        ADDCOLUMNS(\n            ALL(dim_vendor[VendorKey]),\n            "@Score",\n            CALCULATE([Vendor Performance Index])\n        )\n    \n    VAR FilteredSnapshot =\n        FILTER(ScoreSnapshot, NOT ISBLANK([@Score]))\n    \n    VAR VendorsRankedAbove =\n        COUNTROWS(\n            FILTER(FilteredSnapshot, [@Score] &gt; CurrentScore)\n        )\n    \n    RETURN\n    IF(\n        ISBLANK(CurrentScore),\n        BLANK(),\n        VendorsRankedAbove + 1  -- DENSE rank equivalent\n    )\n)</t>
  </si>
  <si>
    <t xml:space="preserve">VPI Rank Display</t>
  </si>
  <si>
    <t xml:space="preserve">\nVAR ScoreSnapshot =\n    ADDCOLUMNS(\n        ALLSELECTED(dim_vendor[VendorKey]),\n        "@Score", CALCULATE([Vendor Performance Index])\n    )\n\nVAR ValidSnapshot =\n    FILTER(ScoreSnapshot, NOT ISBLANK([@Score]))\n\nVAR CurrentScore = [Vendor Performance Index]\n\nVAR CurrentRank =\n    COUNTROWS(FILTER(ValidSnapshot, [@Score] &gt; CurrentScore)) + 1\n\nVAR TotalVendors =\n    COUNTROWS(ValidSnapshot)\n\nRETURN\nIF(\n    ISBLANK(CurrentScore) || TotalVendors = 0,\n    BLANK(),\n    FORMAT(CurrentRank, "0") &amp; " of " &amp; FORMAT(TotalVendors, "0")\n)</t>
  </si>
  <si>
    <t xml:space="preserve">VPI Consistency</t>
  </si>
  <si>
    <t xml:space="preserve">07 - VPI\7.3 - Score\7.3.2 - Tiers &amp; Labels</t>
  </si>
  <si>
    <t xml:space="preserve">VAR ScoreRange = [VPI Stage Score Range]\n\nRETURN\nSWITCH(\n    TRUE(),\n    ISBLANK(ScoreRange), BLANK(),\n    ScoreRange &lt;= 10, "Very Consistent",\n    ScoreRange &lt;= 20, "Consistent",\n    ScoreRange &lt;= 30, "Moderate Variance",\n    ScoreRange &lt;= 40, "High Variance",\n    "Very Inconsistent"\n)</t>
  </si>
  <si>
    <t xml:space="preserve">VPI Performance Tier</t>
  </si>
  <si>
    <t xml:space="preserve">Categorical tier label (Elite / Strong / Moderate / Underperforming / Critical) derived from score bands.</t>
  </si>
  <si>
    <t xml:space="preserve">\nVAR Score = [Vendor Performance Index]\nRETURN\nSWITCH(\n    TRUE(),\n    ISBLANK(Score), BLANK(),\n    Score &gt;= 75, "Elite",\n    Score &gt;= 60, "Strong",\n    Score &gt;= 48, "Moderate",\n    Score &gt;= 35, "Underperforming",\n    "Critical"\n)</t>
  </si>
  <si>
    <t xml:space="preserve">VPI Tier Icon</t>
  </si>
  <si>
    <t xml:space="preserve">\nVAR Score = [Vendor Performance Index]\n\nRETURN\nSWITCH(\n    TRUE(),\n    ISBLANK(Score), "",\n    Score &gt;= 80, "🏆 Elite",           // Trophy for Elite\n    Score &gt;= 60, "⭐ Strong",          // Star for Strong\n    Score &gt;= 40, "● Moderate",        // Circle for Moderate\n    Score &gt;= 20, "⚠ Underperforming", // Warning for Underperforming\n    "⬇ Critical"                       // Down arrow for Critical\n)</t>
  </si>
  <si>
    <t xml:space="preserve">VPI Tier Sort</t>
  </si>
  <si>
    <t xml:space="preserve">VAR Score = [Vendor Performance Index]\n\nRETURN\nSWITCH(\n    TRUE(),\n    ISBLANK(Score), BLANK(),\n    Score &gt;= 80, 1,\n    Score &gt;= 60, 2,\n    Score &gt;= 40, 3,\n    Score &gt;= 20, 4,\n    5\n)</t>
  </si>
  <si>
    <t xml:space="preserve">VPI_Status</t>
  </si>
  <si>
    <t xml:space="preserve">\nVAR Score =\n    IF(\n        HASONEVALUE(dim_vendor[VendorKey]),\n        [Vendor Performance Index],\n        -- Channel rollup: spend-weighted avg of vendor VPI scores\n        DIVIDE(\n            SUMX(\n                VALUES(dim_vendor[VendorKey]),\n                CALCULATE([Vendor Performance Index]) * CALCULATE([Marketing Spend])\n            ),\n            SUMX(\n                VALUES(dim_vendor[VendorKey]),\n                CALCULATE([Marketing Spend])\n            )\n        )\n    )\nRETURN\nIF(\n    ISBLANK(Score), "No Data",\n    IF(Score &gt;= 75, "Top Performer",\n    IF(Score &gt;= 60, "Performing",\n    IF(Score &gt;= 48, "Needs Attention",\n    IF(Score &gt;= 35, "Watch",\n    "At Risk"))))\n)</t>
  </si>
  <si>
    <t xml:space="preserve">VPI_Status_Color</t>
  </si>
  <si>
    <t xml:space="preserve">VAR Score = [Vendor Performance Index]\nRETURN\nIF(\n    ISBLANK(Score), "#555555",\n    IF(Score &gt;= 75, "#2ECC71",   -- Green\n    IF(Score &gt;= 50, "#F1C40F",   -- Yellow\n    IF(Score &gt;= 25, "#E67E22",   -- Orange\n    "#E74C3C")))                  -- Red\n)</t>
  </si>
  <si>
    <t xml:space="preserve">VPI_Status_Icon</t>
  </si>
  <si>
    <t xml:space="preserve">VAR Score = [Vendor Performance Index]\nRETURN\nIF(\n    ISBLANK(Score), "—",\n    IF(Score &gt;= 75, UNICHAR(11035) &amp; " Top Performer",\n    IF(Score &gt;= 50, UNICHAR(11036) &amp; " Performing",\n    IF(Score &gt;= 25, UNICHAR(9651)  &amp; " Needs Attention",\n    UNICHAR(9650) &amp; " At Risk")))\n)</t>
  </si>
  <si>
    <t xml:space="preserve">VPI_Status_SortKey</t>
  </si>
  <si>
    <t xml:space="preserve">VAR Score = [Vendor Performance Index]\nRETURN\nIF(\n    ISBLANK(Score), 0,\n    IF(Score &gt;= 75, 4,\n    IF(Score &gt;= 50, 3,\n    IF(Score &gt;= 25, 2,\n    1)))\n)</t>
  </si>
  <si>
    <t xml:space="preserve">_VPI_SingleVendor_Score</t>
  </si>
  <si>
    <t xml:space="preserve">07 - VPI\7.4 - Helpers</t>
  </si>
  <si>
    <t xml:space="preserve">\n-- Always expects a single vendor in context\n-- Called by Vendor_Performance_Index for both single and rollup paths\nVAR A = [Awareness Score]\nVAR C = [Consideration Score]\nVAR E = [Evaluation Score]\nVAR V = [Conversion Score]\n\nVAR PortfolioScores =\n    ADDCOLUMNS(\n        ALL(dim_vendor),\n        "@A", CALCULATE([Awareness Score]),\n        "@C", CALCULATE([Consideration Score]),\n        "@E", CALCULATE([Evaluation Score]),\n        "@V", CALCULATE([Conversion Score])\n    )\n\nVAR A_Avg = AVERAGEX(FILTER(PortfolioScores, NOT ISBLANK([@A])), [@A])\nVAR C_Avg = AVERAGEX(FILTER(PortfolioScores, NOT ISBLANK([@C])), [@C])\nVAR E_Avg = AVERAGEX(FILTER(PortfolioScores, NOT ISBLANK([@E])), [@E])\nVAR V_Avg = AVERAGEX(FILTER(PortfolioScores, NOT ISBLANK([@V])), [@V])\n\nVAR A_Index = IF(NOT ISBLANK(A) &amp;&amp; A_Avg &gt; 0, DIVIDE(A, A_Avg), BLANK())\nVAR C_Index = IF(NOT ISBLANK(C) &amp;&amp; C_Avg &gt; 0, DIVIDE(C, C_Avg), BLANK())\nVAR E_Index = IF(NOT ISBLANK(E) &amp;&amp; E_Avg &gt; 0, DIVIDE(E, E_Avg), BLANK())\nVAR V_Index = IF(NOT ISBLANK(V) &amp;&amp; V_Avg &gt; 0, DIVIDE(V, V_Avg), BLANK())\n\nVAR WeightedSum =\n    IF(NOT ISBLANK(A_Index), A_Index * 0.15, 0) +\n    IF(NOT ISBLANK(C_Index), C_Index * 0.20, 0) +\n    IF(NOT ISBLANK(E_Index), E_Index * 0.25, 0) +\n    IF(NOT ISBLANK(V_Index), V_Index * 0.40, 0)\n\nVAR WeightTotal =\n    IF(NOT ISBLANK(A_Index), 0.15, 0) +\n    IF(NOT ISBLANK(C_Index), 0.20, 0) +\n    IF(NOT ISBLANK(E_Index), 0.25, 0) +\n    IF(NOT ISBLANK(V_Index), 0.40, 0)\n\nVAR RawIndex    = DIVIDE(WeightedSum, WeightTotal)\nVAR CappedIndex = MIN(1.30, MAX(0.70, RawIndex))\n\nRETURN\nIF(WeightTotal = 0, BLANK(),\n    ((CappedIndex - 0.70) / (1.30 - 0.70)) * 100\n)</t>
  </si>
  <si>
    <t xml:space="preserve">Awareness_Top_Metric</t>
  </si>
  <si>
    <t xml:space="preserve">Returns the strongest component metric name for this stage (diagnostic helper).</t>
  </si>
  <si>
    <t xml:space="preserve">VAR ImpScore = [Awareness_Impressions_Percentile]\nVAR CTRScore = [Awareness_CTR_Percentile]\nVAR CPCScore = [Awareness_CPC_Percentile]\nVAR C2VScore = [Awareness_ClickToVisit_Percentile]\n\nVAR MaxScore = \n    MAX(\n        ImpScore,\n        MAX(\n            CTRScore,\n            MAX(CPCScore, C2VScore)\n        )\n    )\n\nRETURN\nSWITCH(\n    TRUE(),\n    MaxScore = ImpScore, "Impressions",\n    MaxScore = CTRScore, "CTR %",\n    MaxScore = CPCScore, "Cost per Click",\n    MaxScore = C2VScore, "Click-to-Visit %",\n    BLANK()\n)</t>
  </si>
  <si>
    <t xml:space="preserve">Awareness_Top_Metric_Value</t>
  </si>
  <si>
    <t xml:space="preserve">VAR ImpScore = [Awareness_Impressions_Percentile]\nVAR CTRScore = [Awareness_CTR_Percentile]\nVAR CPCScore = [Awareness_CPC_Percentile]\nVAR C2VScore = [Awareness_ClickToVisit_Percentile]\n\nRETURN\nMAX(\n    ImpScore,\n    MAX(\n        CTRScore,\n        MAX(CPCScore, C2VScore)\n    )\n)</t>
  </si>
  <si>
    <t xml:space="preserve">Awareness_Weakest_Metric</t>
  </si>
  <si>
    <t xml:space="preserve">Returns the weakest component metric name for this stage (diagnostic helper).</t>
  </si>
  <si>
    <t xml:space="preserve">VAR ImpScore = [Awareness_Impressions_Percentile]\nVAR CTRScore = [Awareness_CTR_Percentile]\nVAR CPCScore = [Awareness_CPC_Percentile]\nVAR C2VScore = [Awareness_ClickToVisit_Percentile]\n\nVAR MinScore = \n    MIN(\n        ImpScore,\n        MIN(\n            CTRScore,\n            MIN(CPCScore, C2VScore)\n        )\n    )\n\nRETURN\nSWITCH(\n    TRUE(),\n    MinScore = ImpScore, "Impressions",\n    MinScore = CTRScore, "CTR %",\n    MinScore = CPCScore, "Cost per Click",\n    MinScore = C2VScore, "Click-to-Visit %",\n    BLANK()\n)</t>
  </si>
  <si>
    <t xml:space="preserve">Awareness_Weakest_Metric_Value</t>
  </si>
  <si>
    <t xml:space="preserve">VAR ImpScore = [Awareness_Impressions_Percentile]\nVAR CTRScore = [Awareness_CTR_Percentile]\nVAR CPCScore = [Awareness_CPC_Percentile]\nVAR C2VScore = [Awareness_ClickToVisit_Percentile]\n\nRETURN\nMIN(\n    ImpScore,\n    MIN(\n        CTRScore,\n        MIN(CPCScore, C2VScore)\n    )\n)</t>
  </si>
  <si>
    <t xml:space="preserve">Consideration_Top_Metric</t>
  </si>
  <si>
    <t xml:space="preserve">VAR VisitsScore = [Consideration_Visits_Percentile]\nVAR CPVScore = [Consideration_CPV_Percentile]\nVAR V2LScore = [Consideration_VisitToLead_Percentile]\n\nVAR MaxScore = \n    MAX(\n        VisitsScore,\n        MAX(CPVScore, V2LScore)\n    )\n\nRETURN\nSWITCH(\n    TRUE(),\n    MaxScore = VisitsScore, "Visits",\n    MaxScore = CPVScore, "Cost per Visit",\n    MaxScore = V2LScore, "Visit-to-Lead %",\n    BLANK()\n)</t>
  </si>
  <si>
    <t xml:space="preserve">Consideration_Top_Metric_Value</t>
  </si>
  <si>
    <t xml:space="preserve">VAR VisitsScore = [Consideration_Visits_Percentile]\nVAR CPVScore = [Consideration_CPV_Percentile]\nVAR V2LScore = [Consideration_VisitToLead_Percentile]\n\nRETURN\nMAX(\n    VisitsScore,\n    MAX(CPVScore, V2LScore)\n)</t>
  </si>
  <si>
    <t xml:space="preserve">Consideration_Weakest_Metric</t>
  </si>
  <si>
    <t xml:space="preserve">VAR VisitsScore = [Consideration_Visits_Percentile]\nVAR CPVScore = [Consideration_CPV_Percentile]\nVAR V2LScore = [Consideration_VisitToLead_Percentile]\n\nVAR MinScore = \n    MIN(\n        VisitsScore,\n        MIN(CPVScore, V2LScore)\n    )\n\nRETURN\nSWITCH(\n    TRUE(),\n    MinScore = VisitsScore, "Visits",\n    MinScore = CPVScore, "Cost per Visit",\n    MinScore = V2LScore, "Visit-to-Lead %",\n    BLANK()\n)</t>
  </si>
  <si>
    <t xml:space="preserve">Consideration_Weakest_Metric_Value</t>
  </si>
  <si>
    <t xml:space="preserve">VAR VisitsScore = [Consideration_Visits_Percentile]\nVAR CPVScore = [Consideration_CPV_Percentile]\nVAR V2LScore = [Consideration_VisitToLead_Percentile]\n\nRETURN\nMIN(\n    VisitsScore,\n    MIN(CPVScore, V2LScore)\n)</t>
  </si>
  <si>
    <t xml:space="preserve">Conversion_Top_Metric</t>
  </si>
  <si>
    <t xml:space="preserve">VAR LeasesScore = [Conversion_NewLeases_Percentile]\nVAR CPLeaseScore = [Conversion_CostPerLease_Percentile]\nVAR I2LScore = [Conversion_ImpToLease_Percentile]\n\nVAR MaxScore = \n    MAX(\n        LeasesScore,\n        MAX(CPLeaseScore, I2LScore)\n    )\n\nRETURN\nSWITCH(\n    TRUE(),\n    MaxScore = LeasesScore, "New Leases",\n    MaxScore = CPLeaseScore, "Cost per Lease",\n    MaxScore = I2LScore, "Funnel Health",\n    BLANK()\n)</t>
  </si>
  <si>
    <t xml:space="preserve">Conversion_Top_Metric_Value</t>
  </si>
  <si>
    <t xml:space="preserve">VAR LeasesScore = [Conversion_NewLeases_Percentile]\nVAR CPLeaseScore = [Conversion_CostPerLease_Percentile]\nVAR I2LScore = [Conversion_ImpToLease_Percentile]\n\nRETURN\nMAX(\n    LeasesScore,\n    MAX(CPLeaseScore, I2LScore)\n)</t>
  </si>
  <si>
    <t xml:space="preserve">Conversion_Weakest_Metric</t>
  </si>
  <si>
    <t xml:space="preserve">VAR LeasesScore = [Conversion_NewLeases_Percentile]\nVAR CPLeaseScore = [Conversion_CostPerLease_Percentile]\nVAR I2LScore = [Conversion_ImpToLease_Percentile]\n\nVAR MinScore = \n    MIN(\n        LeasesScore,\n        MIN(CPLeaseScore, I2LScore)\n    )\n\nRETURN\nSWITCH(\n    TRUE(),\n    MinScore = LeasesScore, "New Leases",\n    MinScore = CPLeaseScore, "Cost per Lease",\n    MinScore = I2LScore, "Funnel Health",\n    BLANK()\n)</t>
  </si>
  <si>
    <t xml:space="preserve">Conversion_Weakest_Metric_Value</t>
  </si>
  <si>
    <t xml:space="preserve">VAR LeasesScore = [Conversion_NewLeases_Percentile]\nVAR CPLeaseScore = [Conversion_CostPerLease_Percentile]\nVAR I2LScore = [Conversion_ImpToLease_Percentile]\n\nRETURN\nMIN(\n    LeasesScore,\n    MIN(CPLeaseScore, I2LScore)\n)</t>
  </si>
  <si>
    <t xml:space="preserve">Evaluation_Top_Metric</t>
  </si>
  <si>
    <t xml:space="preserve">VAR LeadsScore = [Evaluation_Leads_Percentile]\nVAR CPLScore = [Evaluation_CPL_Percentile]\nVAR L2LScore = [Evaluation_LeadToLease_Percentile]\n\nVAR MaxScore = \n    MAX(\n        LeadsScore,\n        MAX(CPLScore, L2LScore)\n    )\n\nRETURN\nSWITCH(\n    TRUE(),\n    MaxScore = LeadsScore, "Leads",\n    MaxScore = CPLScore, "Cost per Lead",\n    MaxScore = L2LScore, "Lead-to-Lease %",\n    BLANK()\n)</t>
  </si>
  <si>
    <t xml:space="preserve">Evaluation_Top_Metric_Value</t>
  </si>
  <si>
    <t xml:space="preserve">VAR LeadsScore = [Evaluation_Leads_Percentile]\nVAR CPLScore = [Evaluation_CPL_Percentile]\nVAR L2LScore = [Evaluation_LeadToLease_Percentile]\n\nRETURN\nMAX(\n    LeadsScore,\n    MAX(CPLScore, L2LScore)\n)</t>
  </si>
  <si>
    <t xml:space="preserve">Evaluation_Weakest_Metric</t>
  </si>
  <si>
    <t xml:space="preserve">VAR LeadsScore = [Evaluation_Leads_Percentile]\nVAR CPLScore = [Evaluation_CPL_Percentile]\nVAR L2LScore = [Evaluation_LeadToLease_Percentile]\n\nVAR MinScore = \n    MIN(\n        LeadsScore,\n        MIN(CPLScore, L2LScore)\n    )\n\nRETURN\nSWITCH(\n    TRUE(),\n    MinScore = LeadsScore, "Leads",\n    MinScore = CPLScore, "Cost per Lead",\n    MinScore = L2LScore, "Lead-to-Lease %",\n    BLANK()\n)</t>
  </si>
  <si>
    <t xml:space="preserve">Evaluation_Weakest_Metric_Value</t>
  </si>
  <si>
    <t xml:space="preserve">VAR LeadsScore = [Evaluation_Leads_Percentile]\nVAR CPLScore = [Evaluation_CPL_Percentile]\nVAR L2LScore = [Evaluation_LeadToLease_Percentile]\n\nRETURN\nMIN(\n    LeadsScore,\n    MIN(CPLScore, L2LScore)\n)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</si>
</sst>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F386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25.5" hidden="false" customHeight="tru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23.85" hidden="false" customHeight="false" outlineLevel="0" collapsed="false">
      <c r="A6" s="5" t="s">
        <v>6</v>
      </c>
      <c r="B6" s="6" t="s">
        <v>7</v>
      </c>
      <c r="C6" s="6" t="n">
        <v>148</v>
      </c>
    </row>
    <row r="7" customFormat="false" ht="23.85" hidden="false" customHeight="false" outlineLevel="0" collapsed="false">
      <c r="A7" s="7" t="s">
        <v>8</v>
      </c>
      <c r="B7" s="8" t="s">
        <v>9</v>
      </c>
      <c r="C7" s="8" t="n">
        <v>46</v>
      </c>
    </row>
    <row r="8" customFormat="false" ht="23.85" hidden="false" customHeight="false" outlineLevel="0" collapsed="false">
      <c r="A8" s="5" t="s">
        <v>10</v>
      </c>
      <c r="B8" s="6" t="s">
        <v>11</v>
      </c>
      <c r="C8" s="6" t="n">
        <v>57</v>
      </c>
    </row>
    <row r="9" customFormat="false" ht="23.85" hidden="false" customHeight="false" outlineLevel="0" collapsed="false">
      <c r="A9" s="7" t="s">
        <v>12</v>
      </c>
      <c r="B9" s="8" t="s">
        <v>13</v>
      </c>
      <c r="C9" s="8" t="n">
        <v>48</v>
      </c>
    </row>
    <row r="10" customFormat="false" ht="23.85" hidden="false" customHeight="false" outlineLevel="0" collapsed="false">
      <c r="A10" s="5" t="s">
        <v>14</v>
      </c>
      <c r="B10" s="6" t="s">
        <v>15</v>
      </c>
      <c r="C10" s="6" t="n">
        <v>17</v>
      </c>
    </row>
    <row r="11" customFormat="false" ht="23.85" hidden="false" customHeight="false" outlineLevel="0" collapsed="false">
      <c r="A11" s="7" t="s">
        <v>16</v>
      </c>
      <c r="B11" s="8" t="s">
        <v>17</v>
      </c>
      <c r="C11" s="8" t="n">
        <v>57</v>
      </c>
    </row>
    <row r="12" customFormat="false" ht="23.85" hidden="false" customHeight="false" outlineLevel="0" collapsed="false">
      <c r="A12" s="5" t="s">
        <v>18</v>
      </c>
      <c r="B12" s="6" t="s">
        <v>19</v>
      </c>
      <c r="C12" s="6" t="n">
        <v>92</v>
      </c>
    </row>
    <row r="13" customFormat="false" ht="15" hidden="false" customHeight="false" outlineLevel="0" collapsed="false">
      <c r="A13" s="9" t="s">
        <v>20</v>
      </c>
      <c r="B13" s="10"/>
      <c r="C13" s="9" t="n">
        <f aca="false">SUM(C6:C12)</f>
        <v>465</v>
      </c>
    </row>
    <row r="15" customFormat="false" ht="15" hidden="false" customHeight="false" outlineLevel="0" collapsed="false">
      <c r="A15" s="3" t="s">
        <v>21</v>
      </c>
    </row>
    <row r="16" customFormat="false" ht="15" hidden="false" customHeight="true" outlineLevel="0" collapsed="false">
      <c r="A16" s="11" t="s">
        <v>22</v>
      </c>
      <c r="B16" s="11"/>
      <c r="C16" s="11"/>
      <c r="D16" s="11"/>
      <c r="E16" s="11"/>
    </row>
    <row r="17" customFormat="false" ht="15" hidden="false" customHeight="true" outlineLevel="0" collapsed="false">
      <c r="A17" s="11" t="s">
        <v>23</v>
      </c>
      <c r="B17" s="11"/>
      <c r="C17" s="11"/>
      <c r="D17" s="11"/>
      <c r="E17" s="11"/>
    </row>
    <row r="18" customFormat="false" ht="15" hidden="false" customHeight="true" outlineLevel="0" collapsed="false">
      <c r="A18" s="11" t="s">
        <v>24</v>
      </c>
      <c r="B18" s="11"/>
      <c r="C18" s="11"/>
      <c r="D18" s="11"/>
      <c r="E18" s="11"/>
    </row>
    <row r="19" customFormat="false" ht="15" hidden="false" customHeight="true" outlineLevel="0" collapsed="false">
      <c r="A19" s="11" t="s">
        <v>25</v>
      </c>
      <c r="B19" s="11"/>
      <c r="C19" s="11"/>
      <c r="D19" s="11"/>
      <c r="E19" s="11"/>
    </row>
    <row r="20" customFormat="false" ht="15" hidden="false" customHeight="true" outlineLevel="0" collapsed="false">
      <c r="A20" s="11" t="s">
        <v>26</v>
      </c>
      <c r="B20" s="11"/>
      <c r="C20" s="11"/>
      <c r="D20" s="11"/>
      <c r="E20" s="11"/>
    </row>
  </sheetData>
  <mergeCells count="6">
    <mergeCell ref="A2:E2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6</v>
      </c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28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29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customFormat="false" ht="46.25" hidden="false" customHeight="false" outlineLevel="0" collapsed="false">
      <c r="A7" s="8" t="n">
        <v>1</v>
      </c>
      <c r="B7" s="7" t="s">
        <v>36</v>
      </c>
      <c r="C7" s="8" t="s">
        <v>37</v>
      </c>
      <c r="D7" s="8" t="s">
        <v>38</v>
      </c>
      <c r="E7" s="8" t="s">
        <v>39</v>
      </c>
      <c r="F7" s="8" t="s">
        <v>40</v>
      </c>
    </row>
    <row r="8" customFormat="false" ht="46.25" hidden="false" customHeight="false" outlineLevel="0" collapsed="false">
      <c r="A8" s="6" t="n">
        <v>2</v>
      </c>
      <c r="B8" s="5" t="s">
        <v>41</v>
      </c>
      <c r="C8" s="6" t="s">
        <v>37</v>
      </c>
      <c r="D8" s="6" t="s">
        <v>42</v>
      </c>
      <c r="E8" s="6" t="s">
        <v>39</v>
      </c>
      <c r="F8" s="6" t="s">
        <v>43</v>
      </c>
    </row>
    <row r="9" customFormat="false" ht="23.85" hidden="false" customHeight="false" outlineLevel="0" collapsed="false">
      <c r="A9" s="8" t="n">
        <v>3</v>
      </c>
      <c r="B9" s="7" t="s">
        <v>44</v>
      </c>
      <c r="C9" s="8" t="s">
        <v>45</v>
      </c>
      <c r="D9" s="8" t="s">
        <v>46</v>
      </c>
      <c r="E9" s="8" t="s">
        <v>47</v>
      </c>
      <c r="F9" s="8" t="s">
        <v>48</v>
      </c>
    </row>
    <row r="10" customFormat="false" ht="23.85" hidden="false" customHeight="false" outlineLevel="0" collapsed="false">
      <c r="A10" s="6" t="n">
        <v>4</v>
      </c>
      <c r="B10" s="5" t="s">
        <v>49</v>
      </c>
      <c r="C10" s="6" t="s">
        <v>45</v>
      </c>
      <c r="D10" s="6" t="s">
        <v>50</v>
      </c>
      <c r="E10" s="6" t="s">
        <v>47</v>
      </c>
      <c r="F10" s="6" t="s">
        <v>51</v>
      </c>
    </row>
    <row r="11" customFormat="false" ht="23.85" hidden="false" customHeight="false" outlineLevel="0" collapsed="false">
      <c r="A11" s="8" t="n">
        <v>5</v>
      </c>
      <c r="B11" s="7" t="s">
        <v>52</v>
      </c>
      <c r="C11" s="8" t="s">
        <v>45</v>
      </c>
      <c r="D11" s="8" t="s">
        <v>53</v>
      </c>
      <c r="E11" s="8" t="s">
        <v>47</v>
      </c>
      <c r="F11" s="8" t="s">
        <v>54</v>
      </c>
    </row>
    <row r="12" customFormat="false" ht="23.85" hidden="false" customHeight="false" outlineLevel="0" collapsed="false">
      <c r="A12" s="6" t="n">
        <v>6</v>
      </c>
      <c r="B12" s="5" t="s">
        <v>55</v>
      </c>
      <c r="C12" s="6" t="s">
        <v>45</v>
      </c>
      <c r="D12" s="6" t="s">
        <v>56</v>
      </c>
      <c r="E12" s="6" t="s">
        <v>47</v>
      </c>
      <c r="F12" s="6" t="s">
        <v>57</v>
      </c>
    </row>
    <row r="13" customFormat="false" ht="23.85" hidden="false" customHeight="false" outlineLevel="0" collapsed="false">
      <c r="A13" s="8" t="n">
        <v>7</v>
      </c>
      <c r="B13" s="7" t="s">
        <v>58</v>
      </c>
      <c r="C13" s="8" t="s">
        <v>59</v>
      </c>
      <c r="D13" s="8" t="s">
        <v>60</v>
      </c>
      <c r="E13" s="8" t="s">
        <v>61</v>
      </c>
      <c r="F13" s="8" t="s">
        <v>62</v>
      </c>
    </row>
    <row r="14" customFormat="false" ht="46.25" hidden="false" customHeight="false" outlineLevel="0" collapsed="false">
      <c r="A14" s="6" t="n">
        <v>8</v>
      </c>
      <c r="B14" s="5" t="s">
        <v>63</v>
      </c>
      <c r="C14" s="6" t="s">
        <v>64</v>
      </c>
      <c r="D14" s="6" t="s">
        <v>65</v>
      </c>
      <c r="E14" s="6" t="s">
        <v>66</v>
      </c>
      <c r="F14" s="6" t="s">
        <v>67</v>
      </c>
    </row>
    <row r="15" customFormat="false" ht="23.85" hidden="false" customHeight="false" outlineLevel="0" collapsed="false">
      <c r="A15" s="8" t="n">
        <v>9</v>
      </c>
      <c r="B15" s="7" t="s">
        <v>68</v>
      </c>
      <c r="C15" s="8" t="s">
        <v>64</v>
      </c>
      <c r="D15" s="8" t="s">
        <v>69</v>
      </c>
      <c r="E15" s="8" t="s">
        <v>66</v>
      </c>
      <c r="F15" s="8" t="s">
        <v>70</v>
      </c>
    </row>
    <row r="16" customFormat="false" ht="15" hidden="false" customHeight="false" outlineLevel="0" collapsed="false">
      <c r="A16" s="6" t="n">
        <v>10</v>
      </c>
      <c r="B16" s="5" t="s">
        <v>71</v>
      </c>
      <c r="C16" s="6" t="s">
        <v>64</v>
      </c>
      <c r="D16" s="6" t="s">
        <v>72</v>
      </c>
      <c r="E16" s="6" t="s">
        <v>66</v>
      </c>
      <c r="F16" s="6" t="s">
        <v>73</v>
      </c>
    </row>
    <row r="17" customFormat="false" ht="23.85" hidden="false" customHeight="false" outlineLevel="0" collapsed="false">
      <c r="A17" s="8" t="n">
        <v>11</v>
      </c>
      <c r="B17" s="7" t="s">
        <v>74</v>
      </c>
      <c r="C17" s="8" t="s">
        <v>64</v>
      </c>
      <c r="D17" s="8" t="s">
        <v>72</v>
      </c>
      <c r="E17" s="8" t="s">
        <v>66</v>
      </c>
      <c r="F17" s="8" t="s">
        <v>75</v>
      </c>
    </row>
    <row r="18" customFormat="false" ht="15" hidden="false" customHeight="false" outlineLevel="0" collapsed="false">
      <c r="A18" s="6" t="n">
        <v>12</v>
      </c>
      <c r="B18" s="5" t="s">
        <v>76</v>
      </c>
      <c r="C18" s="6" t="s">
        <v>64</v>
      </c>
      <c r="D18" s="6" t="s">
        <v>77</v>
      </c>
      <c r="E18" s="6" t="s">
        <v>66</v>
      </c>
      <c r="F18" s="6" t="s">
        <v>78</v>
      </c>
    </row>
    <row r="19" customFormat="false" ht="35.05" hidden="false" customHeight="false" outlineLevel="0" collapsed="false">
      <c r="A19" s="8" t="n">
        <v>13</v>
      </c>
      <c r="B19" s="7" t="s">
        <v>79</v>
      </c>
      <c r="C19" s="8" t="s">
        <v>64</v>
      </c>
      <c r="D19" s="8" t="s">
        <v>80</v>
      </c>
      <c r="E19" s="8" t="s">
        <v>66</v>
      </c>
      <c r="F19" s="8" t="s">
        <v>81</v>
      </c>
    </row>
    <row r="20" customFormat="false" ht="15" hidden="false" customHeight="false" outlineLevel="0" collapsed="false">
      <c r="A20" s="6" t="n">
        <v>14</v>
      </c>
      <c r="B20" s="5" t="s">
        <v>82</v>
      </c>
      <c r="C20" s="6" t="s">
        <v>64</v>
      </c>
      <c r="D20" s="6" t="s">
        <v>72</v>
      </c>
      <c r="E20" s="6" t="s">
        <v>66</v>
      </c>
      <c r="F20" s="6" t="s">
        <v>83</v>
      </c>
    </row>
    <row r="21" customFormat="false" ht="15" hidden="false" customHeight="false" outlineLevel="0" collapsed="false">
      <c r="A21" s="8" t="n">
        <v>15</v>
      </c>
      <c r="B21" s="7" t="s">
        <v>84</v>
      </c>
      <c r="C21" s="8" t="s">
        <v>64</v>
      </c>
      <c r="D21" s="8" t="s">
        <v>85</v>
      </c>
      <c r="E21" s="8" t="s">
        <v>66</v>
      </c>
      <c r="F21" s="8" t="s">
        <v>86</v>
      </c>
    </row>
    <row r="22" customFormat="false" ht="46.25" hidden="false" customHeight="false" outlineLevel="0" collapsed="false">
      <c r="A22" s="6" t="n">
        <v>16</v>
      </c>
      <c r="B22" s="5" t="s">
        <v>87</v>
      </c>
      <c r="C22" s="6" t="s">
        <v>64</v>
      </c>
      <c r="D22" s="6" t="s">
        <v>72</v>
      </c>
      <c r="E22" s="6" t="s">
        <v>66</v>
      </c>
      <c r="F22" s="6" t="s">
        <v>88</v>
      </c>
    </row>
    <row r="23" customFormat="false" ht="15" hidden="false" customHeight="false" outlineLevel="0" collapsed="false">
      <c r="A23" s="8" t="n">
        <v>17</v>
      </c>
      <c r="B23" s="7" t="s">
        <v>89</v>
      </c>
      <c r="C23" s="8" t="s">
        <v>64</v>
      </c>
      <c r="D23" s="8" t="s">
        <v>90</v>
      </c>
      <c r="E23" s="8" t="s">
        <v>66</v>
      </c>
      <c r="F23" s="8" t="s">
        <v>91</v>
      </c>
    </row>
    <row r="24" customFormat="false" ht="15" hidden="false" customHeight="false" outlineLevel="0" collapsed="false">
      <c r="A24" s="6" t="n">
        <v>18</v>
      </c>
      <c r="B24" s="5" t="s">
        <v>92</v>
      </c>
      <c r="C24" s="6" t="s">
        <v>64</v>
      </c>
      <c r="D24" s="6" t="s">
        <v>93</v>
      </c>
      <c r="E24" s="6" t="s">
        <v>66</v>
      </c>
      <c r="F24" s="6" t="s">
        <v>94</v>
      </c>
    </row>
    <row r="25" customFormat="false" ht="15" hidden="false" customHeight="false" outlineLevel="0" collapsed="false">
      <c r="A25" s="8" t="n">
        <v>19</v>
      </c>
      <c r="B25" s="7" t="s">
        <v>95</v>
      </c>
      <c r="C25" s="8" t="s">
        <v>64</v>
      </c>
      <c r="D25" s="8" t="s">
        <v>72</v>
      </c>
      <c r="E25" s="8" t="s">
        <v>66</v>
      </c>
      <c r="F25" s="8" t="s">
        <v>96</v>
      </c>
    </row>
    <row r="26" customFormat="false" ht="15" hidden="false" customHeight="false" outlineLevel="0" collapsed="false">
      <c r="A26" s="6" t="n">
        <v>20</v>
      </c>
      <c r="B26" s="5" t="s">
        <v>97</v>
      </c>
      <c r="C26" s="6" t="s">
        <v>98</v>
      </c>
      <c r="D26" s="6" t="s">
        <v>99</v>
      </c>
      <c r="E26" s="6" t="s">
        <v>100</v>
      </c>
      <c r="F26" s="6" t="s">
        <v>101</v>
      </c>
    </row>
    <row r="27" customFormat="false" ht="23.85" hidden="false" customHeight="false" outlineLevel="0" collapsed="false">
      <c r="A27" s="8" t="n">
        <v>21</v>
      </c>
      <c r="B27" s="7" t="s">
        <v>102</v>
      </c>
      <c r="C27" s="8" t="s">
        <v>98</v>
      </c>
      <c r="D27" s="8" t="s">
        <v>99</v>
      </c>
      <c r="E27" s="8" t="s">
        <v>100</v>
      </c>
      <c r="F27" s="8" t="s">
        <v>103</v>
      </c>
    </row>
    <row r="28" customFormat="false" ht="23.85" hidden="false" customHeight="false" outlineLevel="0" collapsed="false">
      <c r="A28" s="6" t="n">
        <v>22</v>
      </c>
      <c r="B28" s="5" t="s">
        <v>104</v>
      </c>
      <c r="C28" s="6" t="s">
        <v>98</v>
      </c>
      <c r="D28" s="6" t="s">
        <v>99</v>
      </c>
      <c r="E28" s="6" t="s">
        <v>100</v>
      </c>
      <c r="F28" s="6" t="s">
        <v>105</v>
      </c>
    </row>
    <row r="29" customFormat="false" ht="23.85" hidden="false" customHeight="false" outlineLevel="0" collapsed="false">
      <c r="A29" s="8" t="n">
        <v>23</v>
      </c>
      <c r="B29" s="7" t="s">
        <v>106</v>
      </c>
      <c r="C29" s="8" t="s">
        <v>98</v>
      </c>
      <c r="D29" s="8" t="s">
        <v>107</v>
      </c>
      <c r="E29" s="8" t="s">
        <v>100</v>
      </c>
      <c r="F29" s="8" t="s">
        <v>108</v>
      </c>
    </row>
    <row r="30" customFormat="false" ht="68.65" hidden="false" customHeight="false" outlineLevel="0" collapsed="false">
      <c r="A30" s="6" t="n">
        <v>24</v>
      </c>
      <c r="B30" s="5" t="s">
        <v>109</v>
      </c>
      <c r="C30" s="6" t="s">
        <v>98</v>
      </c>
      <c r="D30" s="6" t="s">
        <v>99</v>
      </c>
      <c r="E30" s="6" t="s">
        <v>100</v>
      </c>
      <c r="F30" s="6" t="s">
        <v>110</v>
      </c>
    </row>
    <row r="31" customFormat="false" ht="15" hidden="false" customHeight="false" outlineLevel="0" collapsed="false">
      <c r="A31" s="8" t="n">
        <v>25</v>
      </c>
      <c r="B31" s="7" t="s">
        <v>111</v>
      </c>
      <c r="C31" s="8" t="s">
        <v>98</v>
      </c>
      <c r="D31" s="8" t="s">
        <v>99</v>
      </c>
      <c r="E31" s="8" t="s">
        <v>100</v>
      </c>
      <c r="F31" s="8" t="s">
        <v>112</v>
      </c>
    </row>
    <row r="32" customFormat="false" ht="68.65" hidden="false" customHeight="false" outlineLevel="0" collapsed="false">
      <c r="A32" s="6" t="n">
        <v>26</v>
      </c>
      <c r="B32" s="5" t="s">
        <v>113</v>
      </c>
      <c r="C32" s="6" t="s">
        <v>98</v>
      </c>
      <c r="D32" s="6" t="s">
        <v>99</v>
      </c>
      <c r="E32" s="6" t="s">
        <v>100</v>
      </c>
      <c r="F32" s="6" t="s">
        <v>114</v>
      </c>
    </row>
    <row r="33" customFormat="false" ht="15" hidden="false" customHeight="false" outlineLevel="0" collapsed="false">
      <c r="A33" s="8" t="n">
        <v>27</v>
      </c>
      <c r="B33" s="7" t="s">
        <v>115</v>
      </c>
      <c r="C33" s="8" t="s">
        <v>98</v>
      </c>
      <c r="D33" s="8" t="s">
        <v>99</v>
      </c>
      <c r="E33" s="8" t="s">
        <v>100</v>
      </c>
      <c r="F33" s="8" t="s">
        <v>116</v>
      </c>
    </row>
    <row r="34" customFormat="false" ht="23.85" hidden="false" customHeight="false" outlineLevel="0" collapsed="false">
      <c r="A34" s="6" t="n">
        <v>28</v>
      </c>
      <c r="B34" s="5" t="s">
        <v>117</v>
      </c>
      <c r="C34" s="6" t="s">
        <v>98</v>
      </c>
      <c r="D34" s="6" t="s">
        <v>99</v>
      </c>
      <c r="E34" s="6" t="s">
        <v>100</v>
      </c>
      <c r="F34" s="6" t="s">
        <v>118</v>
      </c>
    </row>
    <row r="35" customFormat="false" ht="57.45" hidden="false" customHeight="false" outlineLevel="0" collapsed="false">
      <c r="A35" s="8" t="n">
        <v>29</v>
      </c>
      <c r="B35" s="7" t="s">
        <v>119</v>
      </c>
      <c r="C35" s="8" t="s">
        <v>98</v>
      </c>
      <c r="D35" s="8" t="s">
        <v>99</v>
      </c>
      <c r="E35" s="8" t="s">
        <v>100</v>
      </c>
      <c r="F35" s="8" t="s">
        <v>120</v>
      </c>
    </row>
    <row r="36" customFormat="false" ht="135.8" hidden="false" customHeight="false" outlineLevel="0" collapsed="false">
      <c r="A36" s="6" t="n">
        <v>30</v>
      </c>
      <c r="B36" s="5" t="s">
        <v>121</v>
      </c>
      <c r="C36" s="6" t="s">
        <v>98</v>
      </c>
      <c r="D36" s="6" t="s">
        <v>122</v>
      </c>
      <c r="E36" s="6" t="s">
        <v>100</v>
      </c>
      <c r="F36" s="6" t="s">
        <v>123</v>
      </c>
    </row>
    <row r="37" customFormat="false" ht="68.65" hidden="false" customHeight="false" outlineLevel="0" collapsed="false">
      <c r="A37" s="8" t="n">
        <v>31</v>
      </c>
      <c r="B37" s="7" t="s">
        <v>124</v>
      </c>
      <c r="C37" s="8" t="s">
        <v>98</v>
      </c>
      <c r="D37" s="8" t="s">
        <v>99</v>
      </c>
      <c r="E37" s="8" t="s">
        <v>100</v>
      </c>
      <c r="F37" s="8" t="s">
        <v>125</v>
      </c>
    </row>
    <row r="38" customFormat="false" ht="79.85" hidden="false" customHeight="false" outlineLevel="0" collapsed="false">
      <c r="A38" s="6" t="n">
        <v>32</v>
      </c>
      <c r="B38" s="5" t="s">
        <v>126</v>
      </c>
      <c r="C38" s="6" t="s">
        <v>98</v>
      </c>
      <c r="D38" s="6" t="s">
        <v>99</v>
      </c>
      <c r="E38" s="6" t="s">
        <v>100</v>
      </c>
      <c r="F38" s="6" t="s">
        <v>127</v>
      </c>
    </row>
    <row r="39" customFormat="false" ht="46.25" hidden="false" customHeight="false" outlineLevel="0" collapsed="false">
      <c r="A39" s="8" t="n">
        <v>33</v>
      </c>
      <c r="B39" s="7" t="s">
        <v>128</v>
      </c>
      <c r="C39" s="8" t="s">
        <v>98</v>
      </c>
      <c r="D39" s="8" t="s">
        <v>99</v>
      </c>
      <c r="E39" s="8" t="s">
        <v>100</v>
      </c>
      <c r="F39" s="8" t="s">
        <v>129</v>
      </c>
    </row>
    <row r="40" customFormat="false" ht="124.6" hidden="false" customHeight="false" outlineLevel="0" collapsed="false">
      <c r="A40" s="6" t="n">
        <v>34</v>
      </c>
      <c r="B40" s="5" t="s">
        <v>130</v>
      </c>
      <c r="C40" s="6" t="s">
        <v>98</v>
      </c>
      <c r="D40" s="6" t="s">
        <v>99</v>
      </c>
      <c r="E40" s="6" t="s">
        <v>100</v>
      </c>
      <c r="F40" s="6" t="s">
        <v>131</v>
      </c>
    </row>
    <row r="41" customFormat="false" ht="35.05" hidden="false" customHeight="false" outlineLevel="0" collapsed="false">
      <c r="A41" s="8" t="n">
        <v>35</v>
      </c>
      <c r="B41" s="7" t="s">
        <v>132</v>
      </c>
      <c r="C41" s="8" t="s">
        <v>98</v>
      </c>
      <c r="D41" s="8" t="s">
        <v>99</v>
      </c>
      <c r="E41" s="8" t="s">
        <v>100</v>
      </c>
      <c r="F41" s="8" t="s">
        <v>133</v>
      </c>
    </row>
    <row r="42" customFormat="false" ht="46.25" hidden="false" customHeight="false" outlineLevel="0" collapsed="false">
      <c r="A42" s="6" t="n">
        <v>36</v>
      </c>
      <c r="B42" s="5" t="s">
        <v>134</v>
      </c>
      <c r="C42" s="6" t="s">
        <v>98</v>
      </c>
      <c r="D42" s="6" t="s">
        <v>99</v>
      </c>
      <c r="E42" s="6" t="s">
        <v>100</v>
      </c>
      <c r="F42" s="6" t="s">
        <v>135</v>
      </c>
    </row>
    <row r="43" customFormat="false" ht="57.45" hidden="false" customHeight="false" outlineLevel="0" collapsed="false">
      <c r="A43" s="8" t="n">
        <v>37</v>
      </c>
      <c r="B43" s="7" t="s">
        <v>136</v>
      </c>
      <c r="C43" s="8" t="s">
        <v>98</v>
      </c>
      <c r="D43" s="8" t="s">
        <v>99</v>
      </c>
      <c r="E43" s="8" t="s">
        <v>100</v>
      </c>
      <c r="F43" s="8" t="s">
        <v>137</v>
      </c>
    </row>
    <row r="44" customFormat="false" ht="46.25" hidden="false" customHeight="false" outlineLevel="0" collapsed="false">
      <c r="A44" s="6" t="n">
        <v>38</v>
      </c>
      <c r="B44" s="5" t="s">
        <v>138</v>
      </c>
      <c r="C44" s="6" t="s">
        <v>98</v>
      </c>
      <c r="D44" s="6" t="s">
        <v>99</v>
      </c>
      <c r="E44" s="6" t="s">
        <v>100</v>
      </c>
      <c r="F44" s="6" t="s">
        <v>139</v>
      </c>
    </row>
    <row r="45" customFormat="false" ht="46.25" hidden="false" customHeight="false" outlineLevel="0" collapsed="false">
      <c r="A45" s="8" t="n">
        <v>39</v>
      </c>
      <c r="B45" s="7" t="s">
        <v>140</v>
      </c>
      <c r="C45" s="8" t="s">
        <v>98</v>
      </c>
      <c r="D45" s="8" t="s">
        <v>107</v>
      </c>
      <c r="E45" s="8" t="s">
        <v>100</v>
      </c>
      <c r="F45" s="8" t="s">
        <v>141</v>
      </c>
    </row>
    <row r="46" customFormat="false" ht="247.75" hidden="false" customHeight="false" outlineLevel="0" collapsed="false">
      <c r="A46" s="6" t="n">
        <v>40</v>
      </c>
      <c r="B46" s="5" t="s">
        <v>142</v>
      </c>
      <c r="C46" s="6" t="s">
        <v>98</v>
      </c>
      <c r="D46" s="6" t="s">
        <v>122</v>
      </c>
      <c r="E46" s="6" t="s">
        <v>100</v>
      </c>
      <c r="F46" s="6" t="s">
        <v>143</v>
      </c>
    </row>
    <row r="47" customFormat="false" ht="46.25" hidden="false" customHeight="false" outlineLevel="0" collapsed="false">
      <c r="A47" s="8" t="n">
        <v>41</v>
      </c>
      <c r="B47" s="7" t="s">
        <v>144</v>
      </c>
      <c r="C47" s="8" t="s">
        <v>98</v>
      </c>
      <c r="D47" s="8" t="s">
        <v>99</v>
      </c>
      <c r="E47" s="8" t="s">
        <v>100</v>
      </c>
      <c r="F47" s="8" t="s">
        <v>145</v>
      </c>
    </row>
    <row r="48" customFormat="false" ht="124.6" hidden="false" customHeight="false" outlineLevel="0" collapsed="false">
      <c r="A48" s="6" t="n">
        <v>42</v>
      </c>
      <c r="B48" s="5" t="s">
        <v>146</v>
      </c>
      <c r="C48" s="6" t="s">
        <v>98</v>
      </c>
      <c r="D48" s="6" t="s">
        <v>99</v>
      </c>
      <c r="E48" s="6" t="s">
        <v>100</v>
      </c>
      <c r="F48" s="6" t="s">
        <v>147</v>
      </c>
    </row>
    <row r="49" customFormat="false" ht="57.45" hidden="false" customHeight="false" outlineLevel="0" collapsed="false">
      <c r="A49" s="8" t="n">
        <v>43</v>
      </c>
      <c r="B49" s="7" t="s">
        <v>148</v>
      </c>
      <c r="C49" s="8" t="s">
        <v>98</v>
      </c>
      <c r="D49" s="8" t="s">
        <v>99</v>
      </c>
      <c r="E49" s="8" t="s">
        <v>100</v>
      </c>
      <c r="F49" s="8" t="s">
        <v>149</v>
      </c>
    </row>
    <row r="50" customFormat="false" ht="35.05" hidden="false" customHeight="false" outlineLevel="0" collapsed="false">
      <c r="A50" s="6" t="n">
        <v>44</v>
      </c>
      <c r="B50" s="5" t="s">
        <v>150</v>
      </c>
      <c r="C50" s="6" t="s">
        <v>98</v>
      </c>
      <c r="D50" s="6" t="s">
        <v>122</v>
      </c>
      <c r="E50" s="6" t="s">
        <v>100</v>
      </c>
      <c r="F50" s="6" t="s">
        <v>151</v>
      </c>
    </row>
    <row r="51" customFormat="false" ht="46.25" hidden="false" customHeight="false" outlineLevel="0" collapsed="false">
      <c r="A51" s="8" t="n">
        <v>45</v>
      </c>
      <c r="B51" s="7" t="s">
        <v>152</v>
      </c>
      <c r="C51" s="8" t="s">
        <v>98</v>
      </c>
      <c r="D51" s="8" t="s">
        <v>122</v>
      </c>
      <c r="E51" s="8" t="s">
        <v>100</v>
      </c>
      <c r="F51" s="8" t="s">
        <v>153</v>
      </c>
    </row>
    <row r="52" customFormat="false" ht="23.85" hidden="false" customHeight="false" outlineLevel="0" collapsed="false">
      <c r="A52" s="6" t="n">
        <v>46</v>
      </c>
      <c r="B52" s="5" t="s">
        <v>154</v>
      </c>
      <c r="C52" s="6" t="s">
        <v>98</v>
      </c>
      <c r="D52" s="6" t="s">
        <v>99</v>
      </c>
      <c r="E52" s="6" t="s">
        <v>100</v>
      </c>
      <c r="F52" s="6" t="s">
        <v>155</v>
      </c>
    </row>
    <row r="53" customFormat="false" ht="57.45" hidden="false" customHeight="false" outlineLevel="0" collapsed="false">
      <c r="A53" s="8" t="n">
        <v>47</v>
      </c>
      <c r="B53" s="7" t="s">
        <v>156</v>
      </c>
      <c r="C53" s="8" t="s">
        <v>98</v>
      </c>
      <c r="D53" s="8" t="s">
        <v>99</v>
      </c>
      <c r="E53" s="8" t="s">
        <v>100</v>
      </c>
      <c r="F53" s="8" t="s">
        <v>157</v>
      </c>
    </row>
    <row r="54" customFormat="false" ht="57.45" hidden="false" customHeight="false" outlineLevel="0" collapsed="false">
      <c r="A54" s="6" t="n">
        <v>48</v>
      </c>
      <c r="B54" s="5" t="s">
        <v>158</v>
      </c>
      <c r="C54" s="6" t="s">
        <v>98</v>
      </c>
      <c r="D54" s="6" t="s">
        <v>99</v>
      </c>
      <c r="E54" s="6" t="s">
        <v>100</v>
      </c>
      <c r="F54" s="6" t="s">
        <v>159</v>
      </c>
    </row>
    <row r="55" customFormat="false" ht="113.4" hidden="false" customHeight="false" outlineLevel="0" collapsed="false">
      <c r="A55" s="8" t="n">
        <v>49</v>
      </c>
      <c r="B55" s="7" t="s">
        <v>160</v>
      </c>
      <c r="C55" s="8" t="s">
        <v>98</v>
      </c>
      <c r="D55" s="8" t="s">
        <v>99</v>
      </c>
      <c r="E55" s="8" t="s">
        <v>100</v>
      </c>
      <c r="F55" s="8" t="s">
        <v>161</v>
      </c>
    </row>
    <row r="56" customFormat="false" ht="79.85" hidden="false" customHeight="false" outlineLevel="0" collapsed="false">
      <c r="A56" s="6" t="n">
        <v>50</v>
      </c>
      <c r="B56" s="5" t="s">
        <v>162</v>
      </c>
      <c r="C56" s="6" t="s">
        <v>98</v>
      </c>
      <c r="D56" s="6" t="s">
        <v>99</v>
      </c>
      <c r="E56" s="6" t="s">
        <v>100</v>
      </c>
      <c r="F56" s="6" t="s">
        <v>163</v>
      </c>
    </row>
    <row r="57" customFormat="false" ht="79.85" hidden="false" customHeight="false" outlineLevel="0" collapsed="false">
      <c r="A57" s="8" t="n">
        <v>51</v>
      </c>
      <c r="B57" s="7" t="s">
        <v>164</v>
      </c>
      <c r="C57" s="8" t="s">
        <v>98</v>
      </c>
      <c r="D57" s="8" t="s">
        <v>99</v>
      </c>
      <c r="E57" s="8" t="s">
        <v>100</v>
      </c>
      <c r="F57" s="8" t="s">
        <v>165</v>
      </c>
    </row>
    <row r="58" customFormat="false" ht="102.2" hidden="false" customHeight="false" outlineLevel="0" collapsed="false">
      <c r="A58" s="6" t="n">
        <v>52</v>
      </c>
      <c r="B58" s="5" t="s">
        <v>166</v>
      </c>
      <c r="C58" s="6" t="s">
        <v>98</v>
      </c>
      <c r="D58" s="6" t="s">
        <v>99</v>
      </c>
      <c r="E58" s="6" t="s">
        <v>100</v>
      </c>
      <c r="F58" s="6" t="s">
        <v>167</v>
      </c>
    </row>
    <row r="59" customFormat="false" ht="292.5" hidden="false" customHeight="false" outlineLevel="0" collapsed="false">
      <c r="A59" s="8" t="n">
        <v>53</v>
      </c>
      <c r="B59" s="7" t="s">
        <v>168</v>
      </c>
      <c r="C59" s="8" t="s">
        <v>98</v>
      </c>
      <c r="D59" s="8" t="s">
        <v>99</v>
      </c>
      <c r="E59" s="8" t="s">
        <v>100</v>
      </c>
      <c r="F59" s="8" t="s">
        <v>169</v>
      </c>
    </row>
    <row r="60" customFormat="false" ht="281.3" hidden="false" customHeight="false" outlineLevel="0" collapsed="false">
      <c r="A60" s="6" t="n">
        <v>54</v>
      </c>
      <c r="B60" s="5" t="s">
        <v>170</v>
      </c>
      <c r="C60" s="6" t="s">
        <v>98</v>
      </c>
      <c r="D60" s="6" t="s">
        <v>99</v>
      </c>
      <c r="E60" s="6" t="s">
        <v>100</v>
      </c>
      <c r="F60" s="6" t="s">
        <v>171</v>
      </c>
    </row>
    <row r="61" customFormat="false" ht="281.3" hidden="false" customHeight="false" outlineLevel="0" collapsed="false">
      <c r="A61" s="8" t="n">
        <v>55</v>
      </c>
      <c r="B61" s="7" t="s">
        <v>172</v>
      </c>
      <c r="C61" s="8" t="s">
        <v>98</v>
      </c>
      <c r="D61" s="8" t="s">
        <v>99</v>
      </c>
      <c r="E61" s="8" t="s">
        <v>100</v>
      </c>
      <c r="F61" s="8" t="s">
        <v>171</v>
      </c>
    </row>
    <row r="62" customFormat="false" ht="124.6" hidden="false" customHeight="false" outlineLevel="0" collapsed="false">
      <c r="A62" s="6" t="n">
        <v>56</v>
      </c>
      <c r="B62" s="5" t="s">
        <v>173</v>
      </c>
      <c r="C62" s="6" t="s">
        <v>98</v>
      </c>
      <c r="D62" s="6" t="s">
        <v>99</v>
      </c>
      <c r="E62" s="6" t="s">
        <v>100</v>
      </c>
      <c r="F62" s="6" t="s">
        <v>174</v>
      </c>
    </row>
    <row r="63" customFormat="false" ht="281.3" hidden="false" customHeight="false" outlineLevel="0" collapsed="false">
      <c r="A63" s="8" t="n">
        <v>57</v>
      </c>
      <c r="B63" s="7" t="s">
        <v>175</v>
      </c>
      <c r="C63" s="8" t="s">
        <v>98</v>
      </c>
      <c r="D63" s="8" t="s">
        <v>99</v>
      </c>
      <c r="E63" s="8" t="s">
        <v>100</v>
      </c>
      <c r="F63" s="8" t="s">
        <v>176</v>
      </c>
    </row>
    <row r="64" customFormat="false" ht="281.3" hidden="false" customHeight="false" outlineLevel="0" collapsed="false">
      <c r="A64" s="6" t="n">
        <v>58</v>
      </c>
      <c r="B64" s="5" t="s">
        <v>177</v>
      </c>
      <c r="C64" s="6" t="s">
        <v>98</v>
      </c>
      <c r="D64" s="6" t="s">
        <v>99</v>
      </c>
      <c r="E64" s="6" t="s">
        <v>100</v>
      </c>
      <c r="F64" s="6" t="s">
        <v>178</v>
      </c>
    </row>
    <row r="65" customFormat="false" ht="281.3" hidden="false" customHeight="false" outlineLevel="0" collapsed="false">
      <c r="A65" s="8" t="n">
        <v>59</v>
      </c>
      <c r="B65" s="7" t="s">
        <v>179</v>
      </c>
      <c r="C65" s="8" t="s">
        <v>98</v>
      </c>
      <c r="D65" s="8" t="s">
        <v>99</v>
      </c>
      <c r="E65" s="8" t="s">
        <v>100</v>
      </c>
      <c r="F65" s="8" t="s">
        <v>178</v>
      </c>
    </row>
    <row r="66" customFormat="false" ht="91" hidden="false" customHeight="false" outlineLevel="0" collapsed="false">
      <c r="A66" s="6" t="n">
        <v>60</v>
      </c>
      <c r="B66" s="5" t="s">
        <v>180</v>
      </c>
      <c r="C66" s="6" t="s">
        <v>98</v>
      </c>
      <c r="D66" s="6" t="s">
        <v>99</v>
      </c>
      <c r="E66" s="6" t="s">
        <v>100</v>
      </c>
      <c r="F66" s="6" t="s">
        <v>181</v>
      </c>
    </row>
    <row r="67" customFormat="false" ht="57.45" hidden="false" customHeight="false" outlineLevel="0" collapsed="false">
      <c r="A67" s="8" t="n">
        <v>61</v>
      </c>
      <c r="B67" s="7" t="s">
        <v>182</v>
      </c>
      <c r="C67" s="8" t="s">
        <v>98</v>
      </c>
      <c r="D67" s="8" t="s">
        <v>99</v>
      </c>
      <c r="E67" s="8" t="s">
        <v>100</v>
      </c>
      <c r="F67" s="8" t="s">
        <v>183</v>
      </c>
    </row>
    <row r="68" customFormat="false" ht="15" hidden="false" customHeight="false" outlineLevel="0" collapsed="false">
      <c r="A68" s="6" t="n">
        <v>62</v>
      </c>
      <c r="B68" s="5" t="s">
        <v>184</v>
      </c>
      <c r="C68" s="6" t="s">
        <v>98</v>
      </c>
      <c r="D68" s="6" t="s">
        <v>99</v>
      </c>
      <c r="E68" s="6" t="s">
        <v>100</v>
      </c>
      <c r="F68" s="6" t="s">
        <v>185</v>
      </c>
    </row>
    <row r="69" customFormat="false" ht="46.25" hidden="false" customHeight="false" outlineLevel="0" collapsed="false">
      <c r="A69" s="8" t="n">
        <v>63</v>
      </c>
      <c r="B69" s="7" t="s">
        <v>186</v>
      </c>
      <c r="C69" s="8" t="s">
        <v>98</v>
      </c>
      <c r="D69" s="8" t="s">
        <v>99</v>
      </c>
      <c r="E69" s="8" t="s">
        <v>100</v>
      </c>
      <c r="F69" s="8" t="s">
        <v>187</v>
      </c>
    </row>
    <row r="70" customFormat="false" ht="23.85" hidden="false" customHeight="false" outlineLevel="0" collapsed="false">
      <c r="A70" s="6" t="n">
        <v>64</v>
      </c>
      <c r="B70" s="5" t="s">
        <v>188</v>
      </c>
      <c r="C70" s="6" t="s">
        <v>98</v>
      </c>
      <c r="D70" s="6" t="s">
        <v>99</v>
      </c>
      <c r="E70" s="6" t="s">
        <v>100</v>
      </c>
      <c r="F70" s="6" t="s">
        <v>189</v>
      </c>
    </row>
    <row r="71" customFormat="false" ht="15" hidden="false" customHeight="false" outlineLevel="0" collapsed="false">
      <c r="A71" s="8" t="n">
        <v>65</v>
      </c>
      <c r="B71" s="7" t="s">
        <v>190</v>
      </c>
      <c r="C71" s="8" t="s">
        <v>98</v>
      </c>
      <c r="D71" s="8" t="s">
        <v>99</v>
      </c>
      <c r="E71" s="8" t="s">
        <v>100</v>
      </c>
      <c r="F71" s="8" t="s">
        <v>191</v>
      </c>
    </row>
    <row r="72" customFormat="false" ht="35.05" hidden="false" customHeight="false" outlineLevel="0" collapsed="false">
      <c r="A72" s="6" t="n">
        <v>66</v>
      </c>
      <c r="B72" s="5" t="s">
        <v>192</v>
      </c>
      <c r="C72" s="6" t="s">
        <v>98</v>
      </c>
      <c r="D72" s="6" t="s">
        <v>99</v>
      </c>
      <c r="E72" s="6" t="s">
        <v>100</v>
      </c>
      <c r="F72" s="6" t="s">
        <v>193</v>
      </c>
    </row>
    <row r="73" customFormat="false" ht="23.85" hidden="false" customHeight="false" outlineLevel="0" collapsed="false">
      <c r="A73" s="8" t="n">
        <v>67</v>
      </c>
      <c r="B73" s="7" t="s">
        <v>194</v>
      </c>
      <c r="C73" s="8" t="s">
        <v>98</v>
      </c>
      <c r="D73" s="8" t="s">
        <v>99</v>
      </c>
      <c r="E73" s="8" t="s">
        <v>100</v>
      </c>
      <c r="F73" s="8" t="s">
        <v>195</v>
      </c>
    </row>
    <row r="74" customFormat="false" ht="15" hidden="false" customHeight="false" outlineLevel="0" collapsed="false">
      <c r="A74" s="6" t="n">
        <v>68</v>
      </c>
      <c r="B74" s="5" t="s">
        <v>196</v>
      </c>
      <c r="C74" s="6" t="s">
        <v>98</v>
      </c>
      <c r="D74" s="6" t="s">
        <v>99</v>
      </c>
      <c r="E74" s="6" t="s">
        <v>100</v>
      </c>
      <c r="F74" s="6" t="s">
        <v>197</v>
      </c>
    </row>
    <row r="75" customFormat="false" ht="15" hidden="false" customHeight="false" outlineLevel="0" collapsed="false">
      <c r="A75" s="8" t="n">
        <v>69</v>
      </c>
      <c r="B75" s="7" t="s">
        <v>198</v>
      </c>
      <c r="C75" s="8" t="s">
        <v>98</v>
      </c>
      <c r="D75" s="8" t="s">
        <v>199</v>
      </c>
      <c r="E75" s="8" t="s">
        <v>100</v>
      </c>
      <c r="F75" s="8" t="s">
        <v>200</v>
      </c>
    </row>
    <row r="76" customFormat="false" ht="23.85" hidden="false" customHeight="false" outlineLevel="0" collapsed="false">
      <c r="A76" s="6" t="n">
        <v>70</v>
      </c>
      <c r="B76" s="5" t="s">
        <v>201</v>
      </c>
      <c r="C76" s="6" t="s">
        <v>98</v>
      </c>
      <c r="D76" s="6" t="s">
        <v>202</v>
      </c>
      <c r="E76" s="6" t="s">
        <v>100</v>
      </c>
      <c r="F76" s="6" t="s">
        <v>203</v>
      </c>
    </row>
    <row r="77" customFormat="false" ht="15" hidden="false" customHeight="false" outlineLevel="0" collapsed="false">
      <c r="A77" s="8" t="n">
        <v>71</v>
      </c>
      <c r="B77" s="7" t="s">
        <v>204</v>
      </c>
      <c r="C77" s="8" t="s">
        <v>98</v>
      </c>
      <c r="D77" s="8" t="s">
        <v>205</v>
      </c>
      <c r="E77" s="8" t="s">
        <v>100</v>
      </c>
      <c r="F77" s="8" t="s">
        <v>206</v>
      </c>
    </row>
    <row r="78" customFormat="false" ht="79.85" hidden="false" customHeight="false" outlineLevel="0" collapsed="false">
      <c r="A78" s="6" t="n">
        <v>72</v>
      </c>
      <c r="B78" s="5" t="s">
        <v>207</v>
      </c>
      <c r="C78" s="6" t="s">
        <v>98</v>
      </c>
      <c r="D78" s="6" t="s">
        <v>99</v>
      </c>
      <c r="E78" s="6" t="s">
        <v>100</v>
      </c>
      <c r="F78" s="6" t="s">
        <v>208</v>
      </c>
    </row>
    <row r="79" customFormat="false" ht="35.05" hidden="false" customHeight="false" outlineLevel="0" collapsed="false">
      <c r="A79" s="8" t="n">
        <v>73</v>
      </c>
      <c r="B79" s="7" t="s">
        <v>209</v>
      </c>
      <c r="C79" s="8" t="s">
        <v>98</v>
      </c>
      <c r="D79" s="8" t="s">
        <v>99</v>
      </c>
      <c r="E79" s="8" t="s">
        <v>100</v>
      </c>
      <c r="F79" s="8" t="s">
        <v>210</v>
      </c>
    </row>
    <row r="80" customFormat="false" ht="147" hidden="false" customHeight="false" outlineLevel="0" collapsed="false">
      <c r="A80" s="6" t="n">
        <v>74</v>
      </c>
      <c r="B80" s="5" t="s">
        <v>211</v>
      </c>
      <c r="C80" s="6" t="s">
        <v>98</v>
      </c>
      <c r="D80" s="6" t="s">
        <v>99</v>
      </c>
      <c r="E80" s="6" t="s">
        <v>100</v>
      </c>
      <c r="F80" s="6" t="s">
        <v>212</v>
      </c>
    </row>
    <row r="81" customFormat="false" ht="180.55" hidden="false" customHeight="false" outlineLevel="0" collapsed="false">
      <c r="A81" s="8" t="n">
        <v>75</v>
      </c>
      <c r="B81" s="7" t="s">
        <v>213</v>
      </c>
      <c r="C81" s="8" t="s">
        <v>98</v>
      </c>
      <c r="D81" s="8" t="s">
        <v>99</v>
      </c>
      <c r="E81" s="8" t="s">
        <v>100</v>
      </c>
      <c r="F81" s="8" t="s">
        <v>214</v>
      </c>
    </row>
    <row r="82" customFormat="false" ht="23.85" hidden="false" customHeight="false" outlineLevel="0" collapsed="false">
      <c r="A82" s="6" t="n">
        <v>76</v>
      </c>
      <c r="B82" s="5" t="s">
        <v>215</v>
      </c>
      <c r="C82" s="6" t="s">
        <v>98</v>
      </c>
      <c r="D82" s="6" t="s">
        <v>99</v>
      </c>
      <c r="E82" s="6" t="s">
        <v>100</v>
      </c>
      <c r="F82" s="6" t="s">
        <v>216</v>
      </c>
    </row>
    <row r="83" customFormat="false" ht="15" hidden="false" customHeight="false" outlineLevel="0" collapsed="false">
      <c r="A83" s="8" t="n">
        <v>77</v>
      </c>
      <c r="B83" s="7" t="s">
        <v>217</v>
      </c>
      <c r="C83" s="8" t="s">
        <v>98</v>
      </c>
      <c r="D83" s="8" t="s">
        <v>99</v>
      </c>
      <c r="E83" s="8" t="s">
        <v>100</v>
      </c>
      <c r="F83" s="8" t="s">
        <v>218</v>
      </c>
    </row>
    <row r="84" customFormat="false" ht="23.85" hidden="false" customHeight="false" outlineLevel="0" collapsed="false">
      <c r="A84" s="6" t="n">
        <v>78</v>
      </c>
      <c r="B84" s="5" t="s">
        <v>219</v>
      </c>
      <c r="C84" s="6" t="s">
        <v>98</v>
      </c>
      <c r="D84" s="6" t="s">
        <v>99</v>
      </c>
      <c r="E84" s="6" t="s">
        <v>100</v>
      </c>
      <c r="F84" s="6" t="s">
        <v>220</v>
      </c>
    </row>
    <row r="85" customFormat="false" ht="15" hidden="false" customHeight="false" outlineLevel="0" collapsed="false">
      <c r="A85" s="8" t="n">
        <v>79</v>
      </c>
      <c r="B85" s="7" t="s">
        <v>221</v>
      </c>
      <c r="C85" s="8" t="s">
        <v>98</v>
      </c>
      <c r="D85" s="8" t="s">
        <v>99</v>
      </c>
      <c r="E85" s="8" t="s">
        <v>100</v>
      </c>
      <c r="F85" s="8" t="s">
        <v>222</v>
      </c>
    </row>
    <row r="86" customFormat="false" ht="102.2" hidden="false" customHeight="false" outlineLevel="0" collapsed="false">
      <c r="A86" s="6" t="n">
        <v>80</v>
      </c>
      <c r="B86" s="5" t="s">
        <v>223</v>
      </c>
      <c r="C86" s="6" t="s">
        <v>98</v>
      </c>
      <c r="D86" s="6" t="s">
        <v>122</v>
      </c>
      <c r="E86" s="6" t="s">
        <v>100</v>
      </c>
      <c r="F86" s="6" t="s">
        <v>224</v>
      </c>
    </row>
    <row r="87" customFormat="false" ht="57.45" hidden="false" customHeight="false" outlineLevel="0" collapsed="false">
      <c r="A87" s="8" t="n">
        <v>81</v>
      </c>
      <c r="B87" s="7" t="s">
        <v>225</v>
      </c>
      <c r="C87" s="8" t="s">
        <v>98</v>
      </c>
      <c r="D87" s="8" t="s">
        <v>99</v>
      </c>
      <c r="E87" s="8" t="s">
        <v>100</v>
      </c>
      <c r="F87" s="8" t="s">
        <v>226</v>
      </c>
    </row>
    <row r="88" customFormat="false" ht="15" hidden="false" customHeight="false" outlineLevel="0" collapsed="false">
      <c r="A88" s="6" t="n">
        <v>82</v>
      </c>
      <c r="B88" s="5" t="s">
        <v>227</v>
      </c>
      <c r="C88" s="6" t="s">
        <v>98</v>
      </c>
      <c r="D88" s="6" t="s">
        <v>228</v>
      </c>
      <c r="E88" s="6" t="s">
        <v>100</v>
      </c>
      <c r="F88" s="6" t="s">
        <v>229</v>
      </c>
    </row>
    <row r="89" customFormat="false" ht="23.85" hidden="false" customHeight="false" outlineLevel="0" collapsed="false">
      <c r="A89" s="8" t="n">
        <v>83</v>
      </c>
      <c r="B89" s="7" t="s">
        <v>230</v>
      </c>
      <c r="C89" s="8" t="s">
        <v>98</v>
      </c>
      <c r="D89" s="8" t="s">
        <v>99</v>
      </c>
      <c r="E89" s="8" t="s">
        <v>100</v>
      </c>
      <c r="F89" s="8" t="s">
        <v>231</v>
      </c>
    </row>
    <row r="90" customFormat="false" ht="15" hidden="false" customHeight="false" outlineLevel="0" collapsed="false">
      <c r="A90" s="6" t="n">
        <v>84</v>
      </c>
      <c r="B90" s="5" t="s">
        <v>232</v>
      </c>
      <c r="C90" s="6" t="s">
        <v>98</v>
      </c>
      <c r="D90" s="6" t="s">
        <v>99</v>
      </c>
      <c r="E90" s="6" t="s">
        <v>100</v>
      </c>
      <c r="F90" s="6" t="s">
        <v>233</v>
      </c>
    </row>
    <row r="91" customFormat="false" ht="102.2" hidden="false" customHeight="false" outlineLevel="0" collapsed="false">
      <c r="A91" s="8" t="n">
        <v>85</v>
      </c>
      <c r="B91" s="7" t="s">
        <v>234</v>
      </c>
      <c r="C91" s="8" t="s">
        <v>98</v>
      </c>
      <c r="D91" s="8" t="s">
        <v>99</v>
      </c>
      <c r="E91" s="8" t="s">
        <v>100</v>
      </c>
      <c r="F91" s="8" t="s">
        <v>235</v>
      </c>
    </row>
    <row r="92" customFormat="false" ht="68.65" hidden="false" customHeight="false" outlineLevel="0" collapsed="false">
      <c r="A92" s="6" t="n">
        <v>86</v>
      </c>
      <c r="B92" s="5" t="s">
        <v>236</v>
      </c>
      <c r="C92" s="6" t="s">
        <v>98</v>
      </c>
      <c r="D92" s="6" t="s">
        <v>99</v>
      </c>
      <c r="E92" s="6" t="s">
        <v>100</v>
      </c>
      <c r="F92" s="6" t="s">
        <v>237</v>
      </c>
    </row>
    <row r="93" customFormat="false" ht="23.85" hidden="false" customHeight="false" outlineLevel="0" collapsed="false">
      <c r="A93" s="8" t="n">
        <v>87</v>
      </c>
      <c r="B93" s="7" t="s">
        <v>238</v>
      </c>
      <c r="C93" s="8" t="s">
        <v>98</v>
      </c>
      <c r="D93" s="8" t="s">
        <v>99</v>
      </c>
      <c r="E93" s="8" t="s">
        <v>100</v>
      </c>
      <c r="F93" s="8" t="s">
        <v>239</v>
      </c>
    </row>
    <row r="94" customFormat="false" ht="79.85" hidden="false" customHeight="false" outlineLevel="0" collapsed="false">
      <c r="A94" s="6" t="n">
        <v>88</v>
      </c>
      <c r="B94" s="5" t="s">
        <v>240</v>
      </c>
      <c r="C94" s="6" t="s">
        <v>98</v>
      </c>
      <c r="D94" s="6" t="s">
        <v>99</v>
      </c>
      <c r="E94" s="6" t="s">
        <v>100</v>
      </c>
      <c r="F94" s="6" t="s">
        <v>241</v>
      </c>
    </row>
    <row r="95" customFormat="false" ht="57.45" hidden="false" customHeight="false" outlineLevel="0" collapsed="false">
      <c r="A95" s="8" t="n">
        <v>89</v>
      </c>
      <c r="B95" s="7" t="s">
        <v>242</v>
      </c>
      <c r="C95" s="8" t="s">
        <v>98</v>
      </c>
      <c r="D95" s="8" t="s">
        <v>122</v>
      </c>
      <c r="E95" s="8" t="s">
        <v>100</v>
      </c>
      <c r="F95" s="8" t="s">
        <v>243</v>
      </c>
    </row>
    <row r="96" customFormat="false" ht="35.05" hidden="false" customHeight="false" outlineLevel="0" collapsed="false">
      <c r="A96" s="6" t="n">
        <v>90</v>
      </c>
      <c r="B96" s="5" t="s">
        <v>244</v>
      </c>
      <c r="C96" s="6" t="s">
        <v>98</v>
      </c>
      <c r="D96" s="6" t="s">
        <v>122</v>
      </c>
      <c r="E96" s="6" t="s">
        <v>100</v>
      </c>
      <c r="F96" s="6" t="s">
        <v>245</v>
      </c>
    </row>
    <row r="97" customFormat="false" ht="46.25" hidden="false" customHeight="false" outlineLevel="0" collapsed="false">
      <c r="A97" s="8" t="n">
        <v>91</v>
      </c>
      <c r="B97" s="7" t="s">
        <v>246</v>
      </c>
      <c r="C97" s="8" t="s">
        <v>98</v>
      </c>
      <c r="D97" s="8" t="s">
        <v>99</v>
      </c>
      <c r="E97" s="8" t="s">
        <v>100</v>
      </c>
      <c r="F97" s="8" t="s">
        <v>247</v>
      </c>
    </row>
    <row r="98" customFormat="false" ht="23.85" hidden="false" customHeight="false" outlineLevel="0" collapsed="false">
      <c r="A98" s="6" t="n">
        <v>92</v>
      </c>
      <c r="B98" s="5" t="s">
        <v>248</v>
      </c>
      <c r="C98" s="6" t="s">
        <v>98</v>
      </c>
      <c r="D98" s="6" t="s">
        <v>99</v>
      </c>
      <c r="E98" s="6" t="s">
        <v>100</v>
      </c>
      <c r="F98" s="6" t="s">
        <v>249</v>
      </c>
    </row>
    <row r="99" customFormat="false" ht="124.6" hidden="false" customHeight="false" outlineLevel="0" collapsed="false">
      <c r="A99" s="8" t="n">
        <v>93</v>
      </c>
      <c r="B99" s="7" t="s">
        <v>250</v>
      </c>
      <c r="C99" s="8" t="s">
        <v>98</v>
      </c>
      <c r="D99" s="8" t="s">
        <v>99</v>
      </c>
      <c r="E99" s="8" t="s">
        <v>100</v>
      </c>
      <c r="F99" s="8" t="s">
        <v>251</v>
      </c>
    </row>
    <row r="100" customFormat="false" ht="79.85" hidden="false" customHeight="false" outlineLevel="0" collapsed="false">
      <c r="A100" s="6" t="n">
        <v>94</v>
      </c>
      <c r="B100" s="5" t="s">
        <v>252</v>
      </c>
      <c r="C100" s="6" t="s">
        <v>98</v>
      </c>
      <c r="D100" s="6" t="s">
        <v>99</v>
      </c>
      <c r="E100" s="6" t="s">
        <v>100</v>
      </c>
      <c r="F100" s="6" t="s">
        <v>253</v>
      </c>
    </row>
    <row r="101" customFormat="false" ht="91" hidden="false" customHeight="false" outlineLevel="0" collapsed="false">
      <c r="A101" s="8" t="n">
        <v>95</v>
      </c>
      <c r="B101" s="7" t="s">
        <v>254</v>
      </c>
      <c r="C101" s="8" t="s">
        <v>98</v>
      </c>
      <c r="D101" s="8" t="s">
        <v>99</v>
      </c>
      <c r="E101" s="8" t="s">
        <v>100</v>
      </c>
      <c r="F101" s="8" t="s">
        <v>255</v>
      </c>
    </row>
    <row r="102" customFormat="false" ht="23.85" hidden="false" customHeight="false" outlineLevel="0" collapsed="false">
      <c r="A102" s="6" t="n">
        <v>96</v>
      </c>
      <c r="B102" s="5" t="s">
        <v>256</v>
      </c>
      <c r="C102" s="6" t="s">
        <v>98</v>
      </c>
      <c r="D102" s="6" t="s">
        <v>99</v>
      </c>
      <c r="E102" s="6" t="s">
        <v>100</v>
      </c>
      <c r="F102" s="6" t="s">
        <v>257</v>
      </c>
    </row>
    <row r="103" customFormat="false" ht="91" hidden="false" customHeight="false" outlineLevel="0" collapsed="false">
      <c r="A103" s="8" t="n">
        <v>97</v>
      </c>
      <c r="B103" s="7" t="s">
        <v>258</v>
      </c>
      <c r="C103" s="8" t="s">
        <v>98</v>
      </c>
      <c r="D103" s="8" t="s">
        <v>99</v>
      </c>
      <c r="E103" s="8" t="s">
        <v>100</v>
      </c>
      <c r="F103" s="8" t="s">
        <v>259</v>
      </c>
    </row>
    <row r="104" customFormat="false" ht="35.05" hidden="false" customHeight="false" outlineLevel="0" collapsed="false">
      <c r="A104" s="6" t="n">
        <v>98</v>
      </c>
      <c r="B104" s="5" t="s">
        <v>260</v>
      </c>
      <c r="C104" s="6" t="s">
        <v>98</v>
      </c>
      <c r="D104" s="6" t="s">
        <v>99</v>
      </c>
      <c r="E104" s="6" t="s">
        <v>100</v>
      </c>
      <c r="F104" s="6" t="s">
        <v>261</v>
      </c>
    </row>
    <row r="105" customFormat="false" ht="91" hidden="false" customHeight="false" outlineLevel="0" collapsed="false">
      <c r="A105" s="8" t="n">
        <v>99</v>
      </c>
      <c r="B105" s="7" t="s">
        <v>262</v>
      </c>
      <c r="C105" s="8" t="s">
        <v>98</v>
      </c>
      <c r="D105" s="8" t="s">
        <v>99</v>
      </c>
      <c r="E105" s="8" t="s">
        <v>100</v>
      </c>
      <c r="F105" s="8" t="s">
        <v>263</v>
      </c>
    </row>
    <row r="106" customFormat="false" ht="35.05" hidden="false" customHeight="false" outlineLevel="0" collapsed="false">
      <c r="A106" s="6" t="n">
        <v>100</v>
      </c>
      <c r="B106" s="5" t="s">
        <v>264</v>
      </c>
      <c r="C106" s="6" t="s">
        <v>98</v>
      </c>
      <c r="D106" s="6" t="s">
        <v>99</v>
      </c>
      <c r="E106" s="6" t="s">
        <v>100</v>
      </c>
      <c r="F106" s="6" t="s">
        <v>265</v>
      </c>
    </row>
    <row r="107" customFormat="false" ht="91" hidden="false" customHeight="false" outlineLevel="0" collapsed="false">
      <c r="A107" s="8" t="n">
        <v>101</v>
      </c>
      <c r="B107" s="7" t="s">
        <v>266</v>
      </c>
      <c r="C107" s="8" t="s">
        <v>98</v>
      </c>
      <c r="D107" s="8" t="s">
        <v>99</v>
      </c>
      <c r="E107" s="8" t="s">
        <v>100</v>
      </c>
      <c r="F107" s="8" t="s">
        <v>267</v>
      </c>
    </row>
    <row r="108" customFormat="false" ht="35.05" hidden="false" customHeight="false" outlineLevel="0" collapsed="false">
      <c r="A108" s="6" t="n">
        <v>102</v>
      </c>
      <c r="B108" s="5" t="s">
        <v>268</v>
      </c>
      <c r="C108" s="6" t="s">
        <v>98</v>
      </c>
      <c r="D108" s="6" t="s">
        <v>99</v>
      </c>
      <c r="E108" s="6" t="s">
        <v>100</v>
      </c>
      <c r="F108" s="6" t="s">
        <v>269</v>
      </c>
    </row>
    <row r="109" customFormat="false" ht="23.85" hidden="false" customHeight="false" outlineLevel="0" collapsed="false">
      <c r="A109" s="8" t="n">
        <v>103</v>
      </c>
      <c r="B109" s="7" t="s">
        <v>270</v>
      </c>
      <c r="C109" s="8" t="s">
        <v>98</v>
      </c>
      <c r="D109" s="8" t="s">
        <v>99</v>
      </c>
      <c r="E109" s="8" t="s">
        <v>100</v>
      </c>
      <c r="F109" s="8" t="s">
        <v>271</v>
      </c>
    </row>
    <row r="110" customFormat="false" ht="23.85" hidden="false" customHeight="false" outlineLevel="0" collapsed="false">
      <c r="A110" s="6" t="n">
        <v>104</v>
      </c>
      <c r="B110" s="5" t="s">
        <v>272</v>
      </c>
      <c r="C110" s="6" t="s">
        <v>98</v>
      </c>
      <c r="D110" s="6" t="s">
        <v>273</v>
      </c>
      <c r="E110" s="6" t="s">
        <v>100</v>
      </c>
      <c r="F110" s="6" t="s">
        <v>274</v>
      </c>
    </row>
    <row r="111" customFormat="false" ht="15" hidden="false" customHeight="false" outlineLevel="0" collapsed="false">
      <c r="A111" s="8" t="n">
        <v>105</v>
      </c>
      <c r="B111" s="7" t="s">
        <v>275</v>
      </c>
      <c r="C111" s="8" t="s">
        <v>98</v>
      </c>
      <c r="D111" s="8" t="s">
        <v>99</v>
      </c>
      <c r="E111" s="8" t="s">
        <v>100</v>
      </c>
      <c r="F111" s="8" t="s">
        <v>276</v>
      </c>
    </row>
    <row r="112" customFormat="false" ht="15" hidden="false" customHeight="false" outlineLevel="0" collapsed="false">
      <c r="A112" s="6" t="n">
        <v>106</v>
      </c>
      <c r="B112" s="5" t="s">
        <v>277</v>
      </c>
      <c r="C112" s="6" t="s">
        <v>98</v>
      </c>
      <c r="D112" s="6" t="s">
        <v>99</v>
      </c>
      <c r="E112" s="6" t="s">
        <v>100</v>
      </c>
      <c r="F112" s="6" t="s">
        <v>278</v>
      </c>
    </row>
    <row r="113" customFormat="false" ht="35.05" hidden="false" customHeight="false" outlineLevel="0" collapsed="false">
      <c r="A113" s="8" t="n">
        <v>107</v>
      </c>
      <c r="B113" s="7" t="s">
        <v>279</v>
      </c>
      <c r="C113" s="8" t="s">
        <v>98</v>
      </c>
      <c r="D113" s="8" t="s">
        <v>122</v>
      </c>
      <c r="E113" s="8" t="s">
        <v>100</v>
      </c>
      <c r="F113" s="8" t="s">
        <v>280</v>
      </c>
    </row>
    <row r="114" customFormat="false" ht="46.25" hidden="false" customHeight="false" outlineLevel="0" collapsed="false">
      <c r="A114" s="6" t="n">
        <v>108</v>
      </c>
      <c r="B114" s="5" t="s">
        <v>281</v>
      </c>
      <c r="C114" s="6" t="s">
        <v>98</v>
      </c>
      <c r="D114" s="6" t="s">
        <v>122</v>
      </c>
      <c r="E114" s="6" t="s">
        <v>100</v>
      </c>
      <c r="F114" s="6" t="s">
        <v>282</v>
      </c>
    </row>
    <row r="115" customFormat="false" ht="147" hidden="false" customHeight="false" outlineLevel="0" collapsed="false">
      <c r="A115" s="8" t="n">
        <v>109</v>
      </c>
      <c r="B115" s="7" t="s">
        <v>283</v>
      </c>
      <c r="C115" s="8" t="s">
        <v>98</v>
      </c>
      <c r="D115" s="8" t="s">
        <v>122</v>
      </c>
      <c r="E115" s="8" t="s">
        <v>100</v>
      </c>
      <c r="F115" s="8" t="s">
        <v>284</v>
      </c>
    </row>
    <row r="116" customFormat="false" ht="23.85" hidden="false" customHeight="false" outlineLevel="0" collapsed="false">
      <c r="A116" s="6" t="n">
        <v>110</v>
      </c>
      <c r="B116" s="5" t="s">
        <v>285</v>
      </c>
      <c r="C116" s="6" t="s">
        <v>98</v>
      </c>
      <c r="D116" s="6" t="s">
        <v>122</v>
      </c>
      <c r="E116" s="6" t="s">
        <v>100</v>
      </c>
      <c r="F116" s="6" t="s">
        <v>286</v>
      </c>
    </row>
    <row r="117" customFormat="false" ht="23.85" hidden="false" customHeight="false" outlineLevel="0" collapsed="false">
      <c r="A117" s="8" t="n">
        <v>111</v>
      </c>
      <c r="B117" s="7" t="s">
        <v>287</v>
      </c>
      <c r="C117" s="8" t="s">
        <v>98</v>
      </c>
      <c r="D117" s="8" t="s">
        <v>122</v>
      </c>
      <c r="E117" s="8" t="s">
        <v>100</v>
      </c>
      <c r="F117" s="8" t="s">
        <v>288</v>
      </c>
    </row>
    <row r="118" customFormat="false" ht="15" hidden="false" customHeight="false" outlineLevel="0" collapsed="false">
      <c r="A118" s="6" t="n">
        <v>112</v>
      </c>
      <c r="B118" s="5" t="s">
        <v>289</v>
      </c>
      <c r="C118" s="6" t="s">
        <v>98</v>
      </c>
      <c r="D118" s="6" t="s">
        <v>99</v>
      </c>
      <c r="E118" s="6" t="s">
        <v>100</v>
      </c>
      <c r="F118" s="6" t="s">
        <v>290</v>
      </c>
    </row>
    <row r="119" customFormat="false" ht="57.45" hidden="false" customHeight="false" outlineLevel="0" collapsed="false">
      <c r="A119" s="8" t="n">
        <v>113</v>
      </c>
      <c r="B119" s="7" t="s">
        <v>291</v>
      </c>
      <c r="C119" s="8" t="s">
        <v>98</v>
      </c>
      <c r="D119" s="8" t="s">
        <v>99</v>
      </c>
      <c r="E119" s="8" t="s">
        <v>100</v>
      </c>
      <c r="F119" s="8" t="s">
        <v>292</v>
      </c>
    </row>
    <row r="120" customFormat="false" ht="15" hidden="false" customHeight="false" outlineLevel="0" collapsed="false">
      <c r="A120" s="6" t="n">
        <v>114</v>
      </c>
      <c r="B120" s="5" t="s">
        <v>293</v>
      </c>
      <c r="C120" s="6" t="s">
        <v>98</v>
      </c>
      <c r="D120" s="6" t="s">
        <v>99</v>
      </c>
      <c r="E120" s="6" t="s">
        <v>100</v>
      </c>
      <c r="F120" s="6" t="s">
        <v>294</v>
      </c>
    </row>
    <row r="121" customFormat="false" ht="15" hidden="false" customHeight="false" outlineLevel="0" collapsed="false">
      <c r="A121" s="8" t="n">
        <v>115</v>
      </c>
      <c r="B121" s="7" t="s">
        <v>295</v>
      </c>
      <c r="C121" s="8" t="s">
        <v>98</v>
      </c>
      <c r="D121" s="8" t="s">
        <v>99</v>
      </c>
      <c r="E121" s="8" t="s">
        <v>100</v>
      </c>
      <c r="F121" s="8" t="s">
        <v>296</v>
      </c>
    </row>
    <row r="122" customFormat="false" ht="35.05" hidden="false" customHeight="false" outlineLevel="0" collapsed="false">
      <c r="A122" s="6" t="n">
        <v>116</v>
      </c>
      <c r="B122" s="5" t="s">
        <v>297</v>
      </c>
      <c r="C122" s="6" t="s">
        <v>98</v>
      </c>
      <c r="D122" s="6" t="s">
        <v>99</v>
      </c>
      <c r="E122" s="6" t="s">
        <v>100</v>
      </c>
      <c r="F122" s="6" t="s">
        <v>298</v>
      </c>
    </row>
    <row r="123" customFormat="false" ht="23.85" hidden="false" customHeight="false" outlineLevel="0" collapsed="false">
      <c r="A123" s="8" t="n">
        <v>117</v>
      </c>
      <c r="B123" s="7" t="s">
        <v>299</v>
      </c>
      <c r="C123" s="8" t="s">
        <v>98</v>
      </c>
      <c r="D123" s="8" t="s">
        <v>99</v>
      </c>
      <c r="E123" s="8" t="s">
        <v>100</v>
      </c>
      <c r="F123" s="8" t="s">
        <v>300</v>
      </c>
    </row>
    <row r="124" customFormat="false" ht="15" hidden="false" customHeight="false" outlineLevel="0" collapsed="false">
      <c r="A124" s="6" t="n">
        <v>118</v>
      </c>
      <c r="B124" s="5" t="s">
        <v>301</v>
      </c>
      <c r="C124" s="6" t="s">
        <v>98</v>
      </c>
      <c r="D124" s="6" t="s">
        <v>99</v>
      </c>
      <c r="E124" s="6" t="s">
        <v>100</v>
      </c>
      <c r="F124" s="6" t="s">
        <v>302</v>
      </c>
    </row>
    <row r="125" customFormat="false" ht="15" hidden="false" customHeight="false" outlineLevel="0" collapsed="false">
      <c r="A125" s="8" t="n">
        <v>119</v>
      </c>
      <c r="B125" s="7" t="s">
        <v>303</v>
      </c>
      <c r="C125" s="8" t="s">
        <v>98</v>
      </c>
      <c r="D125" s="8" t="s">
        <v>99</v>
      </c>
      <c r="E125" s="8" t="s">
        <v>100</v>
      </c>
      <c r="F125" s="8" t="s">
        <v>304</v>
      </c>
    </row>
    <row r="126" customFormat="false" ht="15" hidden="false" customHeight="false" outlineLevel="0" collapsed="false">
      <c r="A126" s="6" t="n">
        <v>120</v>
      </c>
      <c r="B126" s="5" t="s">
        <v>305</v>
      </c>
      <c r="C126" s="6" t="s">
        <v>98</v>
      </c>
      <c r="D126" s="6" t="s">
        <v>99</v>
      </c>
      <c r="E126" s="6" t="s">
        <v>100</v>
      </c>
      <c r="F126" s="6" t="s">
        <v>306</v>
      </c>
    </row>
    <row r="127" customFormat="false" ht="57.45" hidden="false" customHeight="false" outlineLevel="0" collapsed="false">
      <c r="A127" s="8" t="n">
        <v>121</v>
      </c>
      <c r="B127" s="7" t="s">
        <v>307</v>
      </c>
      <c r="C127" s="8" t="s">
        <v>98</v>
      </c>
      <c r="D127" s="8" t="s">
        <v>107</v>
      </c>
      <c r="E127" s="8" t="s">
        <v>100</v>
      </c>
      <c r="F127" s="8" t="s">
        <v>308</v>
      </c>
    </row>
    <row r="128" customFormat="false" ht="15" hidden="false" customHeight="false" outlineLevel="0" collapsed="false">
      <c r="A128" s="6" t="n">
        <v>122</v>
      </c>
      <c r="B128" s="5" t="s">
        <v>309</v>
      </c>
      <c r="C128" s="6" t="s">
        <v>98</v>
      </c>
      <c r="D128" s="6" t="s">
        <v>107</v>
      </c>
      <c r="E128" s="6" t="s">
        <v>100</v>
      </c>
      <c r="F128" s="6" t="s">
        <v>310</v>
      </c>
    </row>
    <row r="129" customFormat="false" ht="23.85" hidden="false" customHeight="false" outlineLevel="0" collapsed="false">
      <c r="A129" s="8" t="n">
        <v>123</v>
      </c>
      <c r="B129" s="7" t="s">
        <v>311</v>
      </c>
      <c r="C129" s="8" t="s">
        <v>98</v>
      </c>
      <c r="D129" s="8" t="s">
        <v>99</v>
      </c>
      <c r="E129" s="8" t="s">
        <v>100</v>
      </c>
      <c r="F129" s="8" t="s">
        <v>312</v>
      </c>
    </row>
    <row r="130" customFormat="false" ht="46.25" hidden="false" customHeight="false" outlineLevel="0" collapsed="false">
      <c r="A130" s="6" t="n">
        <v>124</v>
      </c>
      <c r="B130" s="5" t="s">
        <v>313</v>
      </c>
      <c r="C130" s="6" t="s">
        <v>98</v>
      </c>
      <c r="D130" s="6" t="s">
        <v>122</v>
      </c>
      <c r="E130" s="6" t="s">
        <v>100</v>
      </c>
      <c r="F130" s="6" t="s">
        <v>314</v>
      </c>
    </row>
    <row r="131" customFormat="false" ht="46.25" hidden="false" customHeight="false" outlineLevel="0" collapsed="false">
      <c r="A131" s="8" t="n">
        <v>125</v>
      </c>
      <c r="B131" s="7" t="s">
        <v>315</v>
      </c>
      <c r="C131" s="8" t="s">
        <v>98</v>
      </c>
      <c r="D131" s="8" t="s">
        <v>122</v>
      </c>
      <c r="E131" s="8" t="s">
        <v>100</v>
      </c>
      <c r="F131" s="8" t="s">
        <v>316</v>
      </c>
    </row>
    <row r="132" customFormat="false" ht="35.05" hidden="false" customHeight="false" outlineLevel="0" collapsed="false">
      <c r="A132" s="6" t="n">
        <v>126</v>
      </c>
      <c r="B132" s="5" t="s">
        <v>317</v>
      </c>
      <c r="C132" s="6" t="s">
        <v>318</v>
      </c>
      <c r="D132" s="6" t="s">
        <v>319</v>
      </c>
      <c r="E132" s="6" t="s">
        <v>320</v>
      </c>
      <c r="F132" s="6" t="s">
        <v>321</v>
      </c>
    </row>
    <row r="133" customFormat="false" ht="35.05" hidden="false" customHeight="false" outlineLevel="0" collapsed="false">
      <c r="A133" s="8" t="n">
        <v>127</v>
      </c>
      <c r="B133" s="7" t="s">
        <v>322</v>
      </c>
      <c r="C133" s="8" t="s">
        <v>318</v>
      </c>
      <c r="D133" s="8" t="s">
        <v>319</v>
      </c>
      <c r="E133" s="8" t="s">
        <v>320</v>
      </c>
      <c r="F133" s="8" t="s">
        <v>323</v>
      </c>
    </row>
    <row r="134" customFormat="false" ht="46.25" hidden="false" customHeight="false" outlineLevel="0" collapsed="false">
      <c r="A134" s="6" t="n">
        <v>128</v>
      </c>
      <c r="B134" s="5" t="s">
        <v>324</v>
      </c>
      <c r="C134" s="6" t="s">
        <v>318</v>
      </c>
      <c r="D134" s="6" t="s">
        <v>319</v>
      </c>
      <c r="E134" s="6" t="s">
        <v>320</v>
      </c>
      <c r="F134" s="6" t="s">
        <v>325</v>
      </c>
    </row>
    <row r="135" customFormat="false" ht="15" hidden="false" customHeight="false" outlineLevel="0" collapsed="false">
      <c r="A135" s="8" t="n">
        <v>129</v>
      </c>
      <c r="B135" s="7" t="s">
        <v>326</v>
      </c>
      <c r="C135" s="8" t="s">
        <v>318</v>
      </c>
      <c r="D135" s="8" t="s">
        <v>107</v>
      </c>
      <c r="E135" s="8" t="s">
        <v>320</v>
      </c>
      <c r="F135" s="8" t="s">
        <v>327</v>
      </c>
    </row>
    <row r="136" customFormat="false" ht="23.85" hidden="false" customHeight="false" outlineLevel="0" collapsed="false">
      <c r="A136" s="6" t="n">
        <v>130</v>
      </c>
      <c r="B136" s="5" t="s">
        <v>328</v>
      </c>
      <c r="C136" s="6" t="s">
        <v>318</v>
      </c>
      <c r="D136" s="6" t="s">
        <v>107</v>
      </c>
      <c r="E136" s="6" t="s">
        <v>320</v>
      </c>
      <c r="F136" s="6" t="s">
        <v>329</v>
      </c>
    </row>
    <row r="137" customFormat="false" ht="23.85" hidden="false" customHeight="false" outlineLevel="0" collapsed="false">
      <c r="A137" s="8" t="n">
        <v>131</v>
      </c>
      <c r="B137" s="7" t="s">
        <v>330</v>
      </c>
      <c r="C137" s="8" t="s">
        <v>318</v>
      </c>
      <c r="D137" s="8" t="s">
        <v>319</v>
      </c>
      <c r="E137" s="8" t="s">
        <v>320</v>
      </c>
      <c r="F137" s="8" t="s">
        <v>331</v>
      </c>
    </row>
    <row r="138" customFormat="false" ht="23.85" hidden="false" customHeight="false" outlineLevel="0" collapsed="false">
      <c r="A138" s="6" t="n">
        <v>132</v>
      </c>
      <c r="B138" s="5" t="s">
        <v>332</v>
      </c>
      <c r="C138" s="6" t="s">
        <v>318</v>
      </c>
      <c r="D138" s="6" t="s">
        <v>333</v>
      </c>
      <c r="E138" s="6" t="s">
        <v>320</v>
      </c>
      <c r="F138" s="6" t="s">
        <v>334</v>
      </c>
    </row>
    <row r="139" customFormat="false" ht="23.85" hidden="false" customHeight="false" outlineLevel="0" collapsed="false">
      <c r="A139" s="8" t="n">
        <v>133</v>
      </c>
      <c r="B139" s="7" t="s">
        <v>335</v>
      </c>
      <c r="C139" s="8" t="s">
        <v>318</v>
      </c>
      <c r="D139" s="8" t="s">
        <v>319</v>
      </c>
      <c r="E139" s="8" t="s">
        <v>320</v>
      </c>
      <c r="F139" s="8" t="s">
        <v>336</v>
      </c>
    </row>
    <row r="140" customFormat="false" ht="35.05" hidden="false" customHeight="false" outlineLevel="0" collapsed="false">
      <c r="A140" s="6" t="n">
        <v>134</v>
      </c>
      <c r="B140" s="5" t="s">
        <v>337</v>
      </c>
      <c r="C140" s="6" t="s">
        <v>318</v>
      </c>
      <c r="D140" s="6" t="s">
        <v>319</v>
      </c>
      <c r="E140" s="6" t="s">
        <v>320</v>
      </c>
      <c r="F140" s="6" t="s">
        <v>338</v>
      </c>
    </row>
    <row r="141" customFormat="false" ht="46.25" hidden="false" customHeight="false" outlineLevel="0" collapsed="false">
      <c r="A141" s="8" t="n">
        <v>135</v>
      </c>
      <c r="B141" s="7" t="s">
        <v>339</v>
      </c>
      <c r="C141" s="8" t="s">
        <v>318</v>
      </c>
      <c r="D141" s="8" t="s">
        <v>319</v>
      </c>
      <c r="E141" s="8" t="s">
        <v>320</v>
      </c>
      <c r="F141" s="8" t="s">
        <v>340</v>
      </c>
    </row>
    <row r="142" customFormat="false" ht="35.05" hidden="false" customHeight="false" outlineLevel="0" collapsed="false">
      <c r="A142" s="6" t="n">
        <v>136</v>
      </c>
      <c r="B142" s="5" t="s">
        <v>341</v>
      </c>
      <c r="C142" s="6" t="s">
        <v>318</v>
      </c>
      <c r="D142" s="6" t="s">
        <v>319</v>
      </c>
      <c r="E142" s="6" t="s">
        <v>320</v>
      </c>
      <c r="F142" s="6" t="s">
        <v>342</v>
      </c>
    </row>
    <row r="143" customFormat="false" ht="23.85" hidden="false" customHeight="false" outlineLevel="0" collapsed="false">
      <c r="A143" s="8" t="n">
        <v>137</v>
      </c>
      <c r="B143" s="7" t="s">
        <v>343</v>
      </c>
      <c r="C143" s="8" t="s">
        <v>318</v>
      </c>
      <c r="D143" s="8" t="s">
        <v>319</v>
      </c>
      <c r="E143" s="8" t="s">
        <v>320</v>
      </c>
      <c r="F143" s="8" t="s">
        <v>344</v>
      </c>
    </row>
    <row r="144" customFormat="false" ht="23.85" hidden="false" customHeight="false" outlineLevel="0" collapsed="false">
      <c r="A144" s="6" t="n">
        <v>138</v>
      </c>
      <c r="B144" s="5" t="s">
        <v>345</v>
      </c>
      <c r="C144" s="6" t="s">
        <v>318</v>
      </c>
      <c r="D144" s="6" t="s">
        <v>319</v>
      </c>
      <c r="E144" s="6" t="s">
        <v>320</v>
      </c>
      <c r="F144" s="6" t="s">
        <v>346</v>
      </c>
    </row>
    <row r="145" customFormat="false" ht="23.85" hidden="false" customHeight="false" outlineLevel="0" collapsed="false">
      <c r="A145" s="8" t="n">
        <v>139</v>
      </c>
      <c r="B145" s="7" t="s">
        <v>347</v>
      </c>
      <c r="C145" s="8" t="s">
        <v>318</v>
      </c>
      <c r="D145" s="8" t="s">
        <v>319</v>
      </c>
      <c r="E145" s="8" t="s">
        <v>320</v>
      </c>
      <c r="F145" s="8" t="s">
        <v>348</v>
      </c>
    </row>
    <row r="146" customFormat="false" ht="270.1" hidden="false" customHeight="false" outlineLevel="0" collapsed="false">
      <c r="A146" s="6" t="n">
        <v>140</v>
      </c>
      <c r="B146" s="5" t="s">
        <v>349</v>
      </c>
      <c r="C146" s="6" t="s">
        <v>350</v>
      </c>
      <c r="D146" s="6" t="s">
        <v>319</v>
      </c>
      <c r="E146" s="6" t="s">
        <v>351</v>
      </c>
      <c r="F146" s="6" t="s">
        <v>352</v>
      </c>
    </row>
    <row r="147" customFormat="false" ht="23.85" hidden="false" customHeight="false" outlineLevel="0" collapsed="false">
      <c r="A147" s="8" t="n">
        <v>141</v>
      </c>
      <c r="B147" s="7" t="s">
        <v>353</v>
      </c>
      <c r="C147" s="8" t="s">
        <v>318</v>
      </c>
      <c r="D147" s="8" t="s">
        <v>333</v>
      </c>
      <c r="E147" s="8" t="s">
        <v>354</v>
      </c>
      <c r="F147" s="8" t="s">
        <v>355</v>
      </c>
    </row>
    <row r="148" customFormat="false" ht="23.85" hidden="false" customHeight="false" outlineLevel="0" collapsed="false">
      <c r="A148" s="6" t="n">
        <v>142</v>
      </c>
      <c r="B148" s="5" t="s">
        <v>356</v>
      </c>
      <c r="C148" s="6" t="s">
        <v>318</v>
      </c>
      <c r="D148" s="6" t="s">
        <v>333</v>
      </c>
      <c r="E148" s="6" t="s">
        <v>354</v>
      </c>
      <c r="F148" s="6" t="s">
        <v>357</v>
      </c>
    </row>
    <row r="149" customFormat="false" ht="23.85" hidden="false" customHeight="false" outlineLevel="0" collapsed="false">
      <c r="A149" s="8" t="n">
        <v>143</v>
      </c>
      <c r="B149" s="7" t="s">
        <v>358</v>
      </c>
      <c r="C149" s="8" t="s">
        <v>318</v>
      </c>
      <c r="D149" s="8" t="s">
        <v>333</v>
      </c>
      <c r="E149" s="8" t="s">
        <v>354</v>
      </c>
      <c r="F149" s="8" t="s">
        <v>359</v>
      </c>
    </row>
    <row r="150" customFormat="false" ht="46.25" hidden="false" customHeight="false" outlineLevel="0" collapsed="false">
      <c r="A150" s="6" t="n">
        <v>144</v>
      </c>
      <c r="B150" s="5" t="s">
        <v>360</v>
      </c>
      <c r="C150" s="6" t="s">
        <v>318</v>
      </c>
      <c r="D150" s="6" t="s">
        <v>319</v>
      </c>
      <c r="E150" s="6" t="s">
        <v>354</v>
      </c>
      <c r="F150" s="6" t="s">
        <v>361</v>
      </c>
    </row>
    <row r="151" customFormat="false" ht="23.85" hidden="false" customHeight="false" outlineLevel="0" collapsed="false">
      <c r="A151" s="8" t="n">
        <v>145</v>
      </c>
      <c r="B151" s="7" t="s">
        <v>362</v>
      </c>
      <c r="C151" s="8" t="s">
        <v>318</v>
      </c>
      <c r="D151" s="8" t="s">
        <v>333</v>
      </c>
      <c r="E151" s="8" t="s">
        <v>354</v>
      </c>
      <c r="F151" s="8" t="s">
        <v>363</v>
      </c>
    </row>
    <row r="152" customFormat="false" ht="23.85" hidden="false" customHeight="false" outlineLevel="0" collapsed="false">
      <c r="A152" s="6" t="n">
        <v>146</v>
      </c>
      <c r="B152" s="5" t="s">
        <v>364</v>
      </c>
      <c r="C152" s="6" t="s">
        <v>318</v>
      </c>
      <c r="D152" s="6" t="s">
        <v>333</v>
      </c>
      <c r="E152" s="6" t="s">
        <v>354</v>
      </c>
      <c r="F152" s="6" t="s">
        <v>365</v>
      </c>
    </row>
    <row r="153" customFormat="false" ht="23.85" hidden="false" customHeight="false" outlineLevel="0" collapsed="false">
      <c r="A153" s="8" t="n">
        <v>147</v>
      </c>
      <c r="B153" s="7" t="s">
        <v>366</v>
      </c>
      <c r="C153" s="8" t="s">
        <v>318</v>
      </c>
      <c r="D153" s="8" t="s">
        <v>333</v>
      </c>
      <c r="E153" s="8" t="s">
        <v>354</v>
      </c>
      <c r="F153" s="8" t="s">
        <v>367</v>
      </c>
    </row>
    <row r="154" customFormat="false" ht="23.85" hidden="false" customHeight="false" outlineLevel="0" collapsed="false">
      <c r="A154" s="6" t="n">
        <v>148</v>
      </c>
      <c r="B154" s="5" t="s">
        <v>368</v>
      </c>
      <c r="C154" s="6" t="s">
        <v>318</v>
      </c>
      <c r="D154" s="6" t="s">
        <v>319</v>
      </c>
      <c r="E154" s="6" t="s">
        <v>354</v>
      </c>
      <c r="F154" s="6" t="s">
        <v>369</v>
      </c>
    </row>
  </sheetData>
  <mergeCells count="3"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8</v>
      </c>
    </row>
    <row r="2" customFormat="false" ht="15" hidden="false" customHeight="true" outlineLevel="0" collapsed="false">
      <c r="A2" s="2" t="s">
        <v>370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371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372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customFormat="false" ht="23.85" hidden="false" customHeight="false" outlineLevel="0" collapsed="false">
      <c r="A7" s="8" t="n">
        <v>1</v>
      </c>
      <c r="B7" s="7" t="s">
        <v>373</v>
      </c>
      <c r="C7" s="8" t="s">
        <v>64</v>
      </c>
      <c r="D7" s="8" t="s">
        <v>72</v>
      </c>
      <c r="E7" s="8" t="s">
        <v>374</v>
      </c>
      <c r="F7" s="8" t="s">
        <v>375</v>
      </c>
    </row>
    <row r="8" customFormat="false" ht="23.85" hidden="false" customHeight="false" outlineLevel="0" collapsed="false">
      <c r="A8" s="6" t="n">
        <v>2</v>
      </c>
      <c r="B8" s="5" t="s">
        <v>376</v>
      </c>
      <c r="C8" s="6" t="s">
        <v>64</v>
      </c>
      <c r="D8" s="6" t="s">
        <v>72</v>
      </c>
      <c r="E8" s="6" t="s">
        <v>374</v>
      </c>
      <c r="F8" s="6" t="s">
        <v>377</v>
      </c>
    </row>
    <row r="9" customFormat="false" ht="23.85" hidden="false" customHeight="false" outlineLevel="0" collapsed="false">
      <c r="A9" s="8" t="n">
        <v>3</v>
      </c>
      <c r="B9" s="7" t="s">
        <v>378</v>
      </c>
      <c r="C9" s="8" t="s">
        <v>64</v>
      </c>
      <c r="D9" s="8" t="s">
        <v>72</v>
      </c>
      <c r="E9" s="8" t="s">
        <v>374</v>
      </c>
      <c r="F9" s="8" t="s">
        <v>379</v>
      </c>
    </row>
    <row r="10" customFormat="false" ht="23.85" hidden="false" customHeight="false" outlineLevel="0" collapsed="false">
      <c r="A10" s="6" t="n">
        <v>4</v>
      </c>
      <c r="B10" s="5" t="s">
        <v>380</v>
      </c>
      <c r="C10" s="6" t="s">
        <v>64</v>
      </c>
      <c r="D10" s="6" t="s">
        <v>72</v>
      </c>
      <c r="E10" s="6" t="s">
        <v>374</v>
      </c>
      <c r="F10" s="6" t="s">
        <v>381</v>
      </c>
    </row>
    <row r="11" customFormat="false" ht="15" hidden="false" customHeight="false" outlineLevel="0" collapsed="false">
      <c r="A11" s="8" t="n">
        <v>5</v>
      </c>
      <c r="B11" s="7" t="s">
        <v>382</v>
      </c>
      <c r="C11" s="8" t="s">
        <v>383</v>
      </c>
      <c r="D11" s="8" t="s">
        <v>384</v>
      </c>
      <c r="E11" s="8" t="s">
        <v>385</v>
      </c>
      <c r="F11" s="8" t="s">
        <v>386</v>
      </c>
    </row>
    <row r="12" customFormat="false" ht="15" hidden="false" customHeight="false" outlineLevel="0" collapsed="false">
      <c r="A12" s="6" t="n">
        <v>6</v>
      </c>
      <c r="B12" s="5" t="s">
        <v>387</v>
      </c>
      <c r="C12" s="6" t="s">
        <v>383</v>
      </c>
      <c r="D12" s="6" t="s">
        <v>388</v>
      </c>
      <c r="E12" s="6" t="s">
        <v>385</v>
      </c>
      <c r="F12" s="6" t="s">
        <v>389</v>
      </c>
    </row>
    <row r="13" customFormat="false" ht="15" hidden="false" customHeight="false" outlineLevel="0" collapsed="false">
      <c r="A13" s="8" t="n">
        <v>7</v>
      </c>
      <c r="B13" s="7" t="s">
        <v>390</v>
      </c>
      <c r="C13" s="8" t="s">
        <v>383</v>
      </c>
      <c r="D13" s="8" t="s">
        <v>391</v>
      </c>
      <c r="E13" s="8" t="s">
        <v>385</v>
      </c>
      <c r="F13" s="8" t="s">
        <v>392</v>
      </c>
    </row>
    <row r="14" customFormat="false" ht="15" hidden="false" customHeight="false" outlineLevel="0" collapsed="false">
      <c r="A14" s="6" t="n">
        <v>8</v>
      </c>
      <c r="B14" s="5" t="s">
        <v>393</v>
      </c>
      <c r="C14" s="6" t="s">
        <v>383</v>
      </c>
      <c r="D14" s="6" t="s">
        <v>394</v>
      </c>
      <c r="E14" s="6" t="s">
        <v>385</v>
      </c>
      <c r="F14" s="6" t="s">
        <v>395</v>
      </c>
    </row>
    <row r="15" customFormat="false" ht="35.05" hidden="false" customHeight="false" outlineLevel="0" collapsed="false">
      <c r="A15" s="8" t="n">
        <v>9</v>
      </c>
      <c r="B15" s="7" t="s">
        <v>396</v>
      </c>
      <c r="C15" s="8" t="s">
        <v>98</v>
      </c>
      <c r="D15" s="8" t="s">
        <v>99</v>
      </c>
      <c r="E15" s="8" t="s">
        <v>397</v>
      </c>
      <c r="F15" s="8" t="s">
        <v>398</v>
      </c>
    </row>
    <row r="16" customFormat="false" ht="15" hidden="false" customHeight="false" outlineLevel="0" collapsed="false">
      <c r="A16" s="6" t="n">
        <v>10</v>
      </c>
      <c r="B16" s="5" t="s">
        <v>399</v>
      </c>
      <c r="C16" s="6" t="s">
        <v>98</v>
      </c>
      <c r="D16" s="6" t="s">
        <v>400</v>
      </c>
      <c r="E16" s="6" t="s">
        <v>397</v>
      </c>
      <c r="F16" s="6" t="s">
        <v>401</v>
      </c>
    </row>
    <row r="17" customFormat="false" ht="15" hidden="false" customHeight="false" outlineLevel="0" collapsed="false">
      <c r="A17" s="8" t="n">
        <v>11</v>
      </c>
      <c r="B17" s="7" t="s">
        <v>402</v>
      </c>
      <c r="C17" s="8" t="s">
        <v>98</v>
      </c>
      <c r="D17" s="8" t="s">
        <v>403</v>
      </c>
      <c r="E17" s="8" t="s">
        <v>397</v>
      </c>
      <c r="F17" s="8" t="s">
        <v>404</v>
      </c>
    </row>
    <row r="18" customFormat="false" ht="15" hidden="false" customHeight="false" outlineLevel="0" collapsed="false">
      <c r="A18" s="6" t="n">
        <v>12</v>
      </c>
      <c r="B18" s="5" t="s">
        <v>405</v>
      </c>
      <c r="C18" s="6" t="s">
        <v>98</v>
      </c>
      <c r="D18" s="6" t="s">
        <v>99</v>
      </c>
      <c r="E18" s="6" t="s">
        <v>397</v>
      </c>
      <c r="F18" s="6" t="s">
        <v>406</v>
      </c>
    </row>
    <row r="19" customFormat="false" ht="15" hidden="false" customHeight="false" outlineLevel="0" collapsed="false">
      <c r="A19" s="8" t="n">
        <v>13</v>
      </c>
      <c r="B19" s="7" t="s">
        <v>407</v>
      </c>
      <c r="C19" s="8" t="s">
        <v>98</v>
      </c>
      <c r="D19" s="8" t="s">
        <v>408</v>
      </c>
      <c r="E19" s="8" t="s">
        <v>397</v>
      </c>
      <c r="F19" s="8" t="s">
        <v>409</v>
      </c>
    </row>
    <row r="20" customFormat="false" ht="46.25" hidden="false" customHeight="false" outlineLevel="0" collapsed="false">
      <c r="A20" s="6" t="n">
        <v>14</v>
      </c>
      <c r="B20" s="5" t="s">
        <v>410</v>
      </c>
      <c r="C20" s="6" t="s">
        <v>98</v>
      </c>
      <c r="D20" s="6" t="s">
        <v>99</v>
      </c>
      <c r="E20" s="6" t="s">
        <v>397</v>
      </c>
      <c r="F20" s="6" t="s">
        <v>411</v>
      </c>
    </row>
    <row r="21" customFormat="false" ht="15" hidden="false" customHeight="false" outlineLevel="0" collapsed="false">
      <c r="A21" s="8" t="n">
        <v>15</v>
      </c>
      <c r="B21" s="7" t="s">
        <v>412</v>
      </c>
      <c r="C21" s="8" t="s">
        <v>98</v>
      </c>
      <c r="D21" s="8" t="s">
        <v>413</v>
      </c>
      <c r="E21" s="8" t="s">
        <v>397</v>
      </c>
      <c r="F21" s="8" t="s">
        <v>414</v>
      </c>
    </row>
    <row r="22" customFormat="false" ht="15" hidden="false" customHeight="false" outlineLevel="0" collapsed="false">
      <c r="A22" s="6" t="n">
        <v>16</v>
      </c>
      <c r="B22" s="5" t="s">
        <v>415</v>
      </c>
      <c r="C22" s="6" t="s">
        <v>98</v>
      </c>
      <c r="D22" s="6" t="s">
        <v>99</v>
      </c>
      <c r="E22" s="6" t="s">
        <v>397</v>
      </c>
      <c r="F22" s="6" t="s">
        <v>416</v>
      </c>
    </row>
    <row r="23" customFormat="false" ht="23.85" hidden="false" customHeight="false" outlineLevel="0" collapsed="false">
      <c r="A23" s="8" t="n">
        <v>17</v>
      </c>
      <c r="B23" s="7" t="s">
        <v>417</v>
      </c>
      <c r="C23" s="8" t="s">
        <v>98</v>
      </c>
      <c r="D23" s="8" t="s">
        <v>99</v>
      </c>
      <c r="E23" s="8" t="s">
        <v>397</v>
      </c>
      <c r="F23" s="8" t="s">
        <v>418</v>
      </c>
    </row>
    <row r="24" customFormat="false" ht="15" hidden="false" customHeight="false" outlineLevel="0" collapsed="false">
      <c r="A24" s="6" t="n">
        <v>18</v>
      </c>
      <c r="B24" s="5" t="s">
        <v>419</v>
      </c>
      <c r="C24" s="6" t="s">
        <v>98</v>
      </c>
      <c r="D24" s="6" t="s">
        <v>420</v>
      </c>
      <c r="E24" s="6" t="s">
        <v>397</v>
      </c>
      <c r="F24" s="6" t="s">
        <v>421</v>
      </c>
    </row>
    <row r="25" customFormat="false" ht="35.05" hidden="false" customHeight="false" outlineLevel="0" collapsed="false">
      <c r="A25" s="8" t="n">
        <v>19</v>
      </c>
      <c r="B25" s="7" t="s">
        <v>422</v>
      </c>
      <c r="C25" s="8" t="s">
        <v>98</v>
      </c>
      <c r="D25" s="8" t="s">
        <v>99</v>
      </c>
      <c r="E25" s="8" t="s">
        <v>397</v>
      </c>
      <c r="F25" s="8" t="s">
        <v>423</v>
      </c>
    </row>
    <row r="26" customFormat="false" ht="15" hidden="false" customHeight="false" outlineLevel="0" collapsed="false">
      <c r="A26" s="6" t="n">
        <v>20</v>
      </c>
      <c r="B26" s="5" t="s">
        <v>424</v>
      </c>
      <c r="C26" s="6" t="s">
        <v>98</v>
      </c>
      <c r="D26" s="6" t="s">
        <v>425</v>
      </c>
      <c r="E26" s="6" t="s">
        <v>397</v>
      </c>
      <c r="F26" s="6" t="s">
        <v>426</v>
      </c>
    </row>
    <row r="27" customFormat="false" ht="23.85" hidden="false" customHeight="false" outlineLevel="0" collapsed="false">
      <c r="A27" s="8" t="n">
        <v>21</v>
      </c>
      <c r="B27" s="7" t="s">
        <v>427</v>
      </c>
      <c r="C27" s="8" t="s">
        <v>98</v>
      </c>
      <c r="D27" s="8" t="s">
        <v>428</v>
      </c>
      <c r="E27" s="8" t="s">
        <v>397</v>
      </c>
      <c r="F27" s="8" t="s">
        <v>429</v>
      </c>
    </row>
    <row r="28" customFormat="false" ht="46.25" hidden="false" customHeight="false" outlineLevel="0" collapsed="false">
      <c r="A28" s="6" t="n">
        <v>22</v>
      </c>
      <c r="B28" s="5" t="s">
        <v>430</v>
      </c>
      <c r="C28" s="6" t="s">
        <v>98</v>
      </c>
      <c r="D28" s="6" t="s">
        <v>431</v>
      </c>
      <c r="E28" s="6" t="s">
        <v>397</v>
      </c>
      <c r="F28" s="6" t="s">
        <v>432</v>
      </c>
    </row>
    <row r="29" customFormat="false" ht="35.05" hidden="false" customHeight="false" outlineLevel="0" collapsed="false">
      <c r="A29" s="8" t="n">
        <v>23</v>
      </c>
      <c r="B29" s="7" t="s">
        <v>433</v>
      </c>
      <c r="C29" s="8" t="s">
        <v>98</v>
      </c>
      <c r="D29" s="8" t="s">
        <v>431</v>
      </c>
      <c r="E29" s="8" t="s">
        <v>397</v>
      </c>
      <c r="F29" s="8" t="s">
        <v>434</v>
      </c>
    </row>
    <row r="30" customFormat="false" ht="35.05" hidden="false" customHeight="false" outlineLevel="0" collapsed="false">
      <c r="A30" s="6" t="n">
        <v>24</v>
      </c>
      <c r="B30" s="5" t="s">
        <v>435</v>
      </c>
      <c r="C30" s="6" t="s">
        <v>98</v>
      </c>
      <c r="D30" s="6" t="s">
        <v>431</v>
      </c>
      <c r="E30" s="6" t="s">
        <v>397</v>
      </c>
      <c r="F30" s="6" t="s">
        <v>436</v>
      </c>
    </row>
    <row r="31" customFormat="false" ht="35.05" hidden="false" customHeight="false" outlineLevel="0" collapsed="false">
      <c r="A31" s="8" t="n">
        <v>25</v>
      </c>
      <c r="B31" s="7" t="s">
        <v>437</v>
      </c>
      <c r="C31" s="8" t="s">
        <v>98</v>
      </c>
      <c r="D31" s="8" t="s">
        <v>431</v>
      </c>
      <c r="E31" s="8" t="s">
        <v>397</v>
      </c>
      <c r="F31" s="8" t="s">
        <v>438</v>
      </c>
    </row>
    <row r="32" customFormat="false" ht="35.05" hidden="false" customHeight="false" outlineLevel="0" collapsed="false">
      <c r="A32" s="6" t="n">
        <v>26</v>
      </c>
      <c r="B32" s="5" t="s">
        <v>439</v>
      </c>
      <c r="C32" s="6" t="s">
        <v>98</v>
      </c>
      <c r="D32" s="6" t="s">
        <v>431</v>
      </c>
      <c r="E32" s="6" t="s">
        <v>397</v>
      </c>
      <c r="F32" s="6" t="s">
        <v>440</v>
      </c>
    </row>
    <row r="33" customFormat="false" ht="68.65" hidden="false" customHeight="false" outlineLevel="0" collapsed="false">
      <c r="A33" s="8" t="n">
        <v>27</v>
      </c>
      <c r="B33" s="7" t="s">
        <v>441</v>
      </c>
      <c r="C33" s="8" t="s">
        <v>98</v>
      </c>
      <c r="D33" s="8" t="s">
        <v>431</v>
      </c>
      <c r="E33" s="8" t="s">
        <v>397</v>
      </c>
      <c r="F33" s="8" t="s">
        <v>442</v>
      </c>
    </row>
    <row r="34" customFormat="false" ht="46.25" hidden="false" customHeight="false" outlineLevel="0" collapsed="false">
      <c r="A34" s="6" t="n">
        <v>28</v>
      </c>
      <c r="B34" s="5" t="s">
        <v>443</v>
      </c>
      <c r="C34" s="6" t="s">
        <v>444</v>
      </c>
      <c r="D34" s="6" t="s">
        <v>445</v>
      </c>
      <c r="E34" s="6" t="s">
        <v>446</v>
      </c>
      <c r="F34" s="6" t="s">
        <v>447</v>
      </c>
    </row>
    <row r="35" customFormat="false" ht="35.05" hidden="false" customHeight="false" outlineLevel="0" collapsed="false">
      <c r="A35" s="8" t="n">
        <v>29</v>
      </c>
      <c r="B35" s="7" t="s">
        <v>448</v>
      </c>
      <c r="C35" s="8" t="s">
        <v>444</v>
      </c>
      <c r="D35" s="8" t="s">
        <v>319</v>
      </c>
      <c r="E35" s="8" t="s">
        <v>446</v>
      </c>
      <c r="F35" s="8" t="s">
        <v>449</v>
      </c>
    </row>
    <row r="36" customFormat="false" ht="35.05" hidden="false" customHeight="false" outlineLevel="0" collapsed="false">
      <c r="A36" s="6" t="n">
        <v>30</v>
      </c>
      <c r="B36" s="5" t="s">
        <v>450</v>
      </c>
      <c r="C36" s="6" t="s">
        <v>444</v>
      </c>
      <c r="D36" s="6" t="s">
        <v>319</v>
      </c>
      <c r="E36" s="6" t="s">
        <v>446</v>
      </c>
      <c r="F36" s="6" t="s">
        <v>451</v>
      </c>
    </row>
    <row r="37" customFormat="false" ht="57.45" hidden="false" customHeight="false" outlineLevel="0" collapsed="false">
      <c r="A37" s="8" t="n">
        <v>31</v>
      </c>
      <c r="B37" s="7" t="s">
        <v>452</v>
      </c>
      <c r="C37" s="8" t="s">
        <v>444</v>
      </c>
      <c r="D37" s="8" t="s">
        <v>319</v>
      </c>
      <c r="E37" s="8" t="s">
        <v>446</v>
      </c>
      <c r="F37" s="8" t="s">
        <v>453</v>
      </c>
    </row>
    <row r="38" customFormat="false" ht="46.25" hidden="false" customHeight="false" outlineLevel="0" collapsed="false">
      <c r="A38" s="6" t="n">
        <v>32</v>
      </c>
      <c r="B38" s="5" t="s">
        <v>454</v>
      </c>
      <c r="C38" s="6" t="s">
        <v>444</v>
      </c>
      <c r="D38" s="6" t="s">
        <v>431</v>
      </c>
      <c r="E38" s="6" t="s">
        <v>446</v>
      </c>
      <c r="F38" s="6" t="s">
        <v>455</v>
      </c>
    </row>
    <row r="39" customFormat="false" ht="15" hidden="false" customHeight="false" outlineLevel="0" collapsed="false">
      <c r="A39" s="8" t="n">
        <v>33</v>
      </c>
      <c r="B39" s="7" t="s">
        <v>456</v>
      </c>
      <c r="C39" s="8" t="s">
        <v>98</v>
      </c>
      <c r="D39" s="8" t="s">
        <v>99</v>
      </c>
      <c r="E39" s="8" t="s">
        <v>457</v>
      </c>
      <c r="F39" s="8" t="s">
        <v>458</v>
      </c>
    </row>
    <row r="40" customFormat="false" ht="15" hidden="false" customHeight="false" outlineLevel="0" collapsed="false">
      <c r="A40" s="6" t="n">
        <v>34</v>
      </c>
      <c r="B40" s="5" t="s">
        <v>459</v>
      </c>
      <c r="C40" s="6" t="s">
        <v>98</v>
      </c>
      <c r="D40" s="6" t="s">
        <v>99</v>
      </c>
      <c r="E40" s="6" t="s">
        <v>457</v>
      </c>
      <c r="F40" s="6" t="s">
        <v>460</v>
      </c>
    </row>
    <row r="41" customFormat="false" ht="35.05" hidden="false" customHeight="false" outlineLevel="0" collapsed="false">
      <c r="A41" s="8" t="n">
        <v>35</v>
      </c>
      <c r="B41" s="7" t="s">
        <v>461</v>
      </c>
      <c r="C41" s="8" t="s">
        <v>98</v>
      </c>
      <c r="D41" s="8" t="s">
        <v>462</v>
      </c>
      <c r="E41" s="8" t="s">
        <v>457</v>
      </c>
      <c r="F41" s="8" t="s">
        <v>463</v>
      </c>
    </row>
    <row r="42" customFormat="false" ht="35.05" hidden="false" customHeight="false" outlineLevel="0" collapsed="false">
      <c r="A42" s="6" t="n">
        <v>36</v>
      </c>
      <c r="B42" s="5" t="s">
        <v>464</v>
      </c>
      <c r="C42" s="6" t="s">
        <v>98</v>
      </c>
      <c r="D42" s="6" t="s">
        <v>99</v>
      </c>
      <c r="E42" s="6" t="s">
        <v>457</v>
      </c>
      <c r="F42" s="6" t="s">
        <v>465</v>
      </c>
    </row>
    <row r="43" customFormat="false" ht="35.05" hidden="false" customHeight="false" outlineLevel="0" collapsed="false">
      <c r="A43" s="8" t="n">
        <v>37</v>
      </c>
      <c r="B43" s="7" t="s">
        <v>466</v>
      </c>
      <c r="C43" s="8" t="s">
        <v>98</v>
      </c>
      <c r="D43" s="8" t="s">
        <v>99</v>
      </c>
      <c r="E43" s="8" t="s">
        <v>457</v>
      </c>
      <c r="F43" s="8" t="s">
        <v>467</v>
      </c>
    </row>
    <row r="44" customFormat="false" ht="15" hidden="false" customHeight="false" outlineLevel="0" collapsed="false">
      <c r="A44" s="6" t="n">
        <v>38</v>
      </c>
      <c r="B44" s="5" t="s">
        <v>468</v>
      </c>
      <c r="C44" s="6" t="s">
        <v>98</v>
      </c>
      <c r="D44" s="6" t="s">
        <v>99</v>
      </c>
      <c r="E44" s="6" t="s">
        <v>457</v>
      </c>
      <c r="F44" s="6" t="s">
        <v>469</v>
      </c>
    </row>
    <row r="45" customFormat="false" ht="15" hidden="false" customHeight="false" outlineLevel="0" collapsed="false">
      <c r="A45" s="8" t="n">
        <v>39</v>
      </c>
      <c r="B45" s="7" t="s">
        <v>470</v>
      </c>
      <c r="C45" s="8" t="s">
        <v>98</v>
      </c>
      <c r="D45" s="8" t="s">
        <v>99</v>
      </c>
      <c r="E45" s="8" t="s">
        <v>457</v>
      </c>
      <c r="F45" s="8" t="s">
        <v>471</v>
      </c>
    </row>
    <row r="46" customFormat="false" ht="15" hidden="false" customHeight="false" outlineLevel="0" collapsed="false">
      <c r="A46" s="6" t="n">
        <v>40</v>
      </c>
      <c r="B46" s="5" t="s">
        <v>472</v>
      </c>
      <c r="C46" s="6" t="s">
        <v>98</v>
      </c>
      <c r="D46" s="6" t="s">
        <v>99</v>
      </c>
      <c r="E46" s="6" t="s">
        <v>457</v>
      </c>
      <c r="F46" s="6" t="s">
        <v>473</v>
      </c>
    </row>
    <row r="47" customFormat="false" ht="15" hidden="false" customHeight="false" outlineLevel="0" collapsed="false">
      <c r="A47" s="8" t="n">
        <v>41</v>
      </c>
      <c r="B47" s="7" t="s">
        <v>474</v>
      </c>
      <c r="C47" s="8" t="s">
        <v>98</v>
      </c>
      <c r="D47" s="8" t="s">
        <v>99</v>
      </c>
      <c r="E47" s="8" t="s">
        <v>457</v>
      </c>
      <c r="F47" s="8" t="s">
        <v>475</v>
      </c>
    </row>
    <row r="48" customFormat="false" ht="15" hidden="false" customHeight="false" outlineLevel="0" collapsed="false">
      <c r="A48" s="6" t="n">
        <v>42</v>
      </c>
      <c r="B48" s="5" t="s">
        <v>476</v>
      </c>
      <c r="C48" s="6" t="s">
        <v>98</v>
      </c>
      <c r="D48" s="6" t="s">
        <v>99</v>
      </c>
      <c r="E48" s="6" t="s">
        <v>457</v>
      </c>
      <c r="F48" s="6" t="s">
        <v>477</v>
      </c>
    </row>
    <row r="49" customFormat="false" ht="15" hidden="false" customHeight="false" outlineLevel="0" collapsed="false">
      <c r="A49" s="8" t="n">
        <v>43</v>
      </c>
      <c r="B49" s="7" t="s">
        <v>478</v>
      </c>
      <c r="C49" s="8" t="s">
        <v>98</v>
      </c>
      <c r="D49" s="8" t="s">
        <v>99</v>
      </c>
      <c r="E49" s="8" t="s">
        <v>457</v>
      </c>
      <c r="F49" s="8" t="s">
        <v>479</v>
      </c>
    </row>
    <row r="50" customFormat="false" ht="15" hidden="false" customHeight="false" outlineLevel="0" collapsed="false">
      <c r="A50" s="6" t="n">
        <v>44</v>
      </c>
      <c r="B50" s="5" t="s">
        <v>480</v>
      </c>
      <c r="C50" s="6" t="s">
        <v>98</v>
      </c>
      <c r="D50" s="6" t="s">
        <v>99</v>
      </c>
      <c r="E50" s="6" t="s">
        <v>457</v>
      </c>
      <c r="F50" s="6" t="s">
        <v>481</v>
      </c>
    </row>
    <row r="51" customFormat="false" ht="15" hidden="false" customHeight="false" outlineLevel="0" collapsed="false">
      <c r="A51" s="8" t="n">
        <v>45</v>
      </c>
      <c r="B51" s="7" t="s">
        <v>482</v>
      </c>
      <c r="C51" s="8" t="s">
        <v>98</v>
      </c>
      <c r="D51" s="8" t="s">
        <v>99</v>
      </c>
      <c r="E51" s="8" t="s">
        <v>457</v>
      </c>
      <c r="F51" s="8" t="s">
        <v>483</v>
      </c>
    </row>
    <row r="52" customFormat="false" ht="23.85" hidden="false" customHeight="false" outlineLevel="0" collapsed="false">
      <c r="A52" s="6" t="n">
        <v>46</v>
      </c>
      <c r="B52" s="5" t="s">
        <v>484</v>
      </c>
      <c r="C52" s="6" t="s">
        <v>98</v>
      </c>
      <c r="D52" s="6" t="s">
        <v>485</v>
      </c>
      <c r="E52" s="6" t="s">
        <v>457</v>
      </c>
      <c r="F52" s="6" t="s">
        <v>486</v>
      </c>
    </row>
  </sheetData>
  <mergeCells count="3"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10</v>
      </c>
    </row>
    <row r="2" customFormat="false" ht="15" hidden="false" customHeight="true" outlineLevel="0" collapsed="false">
      <c r="A2" s="2" t="s">
        <v>487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488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489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490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124.6" hidden="false" customHeight="false" outlineLevel="0" collapsed="false">
      <c r="A8" s="8" t="n">
        <v>1</v>
      </c>
      <c r="B8" s="7" t="s">
        <v>491</v>
      </c>
      <c r="C8" s="8" t="s">
        <v>64</v>
      </c>
      <c r="D8" s="8" t="s">
        <v>492</v>
      </c>
      <c r="E8" s="8" t="s">
        <v>493</v>
      </c>
      <c r="F8" s="8" t="s">
        <v>494</v>
      </c>
    </row>
    <row r="9" customFormat="false" ht="135.8" hidden="false" customHeight="false" outlineLevel="0" collapsed="false">
      <c r="A9" s="6" t="n">
        <v>2</v>
      </c>
      <c r="B9" s="5" t="s">
        <v>495</v>
      </c>
      <c r="C9" s="6" t="s">
        <v>64</v>
      </c>
      <c r="D9" s="6" t="s">
        <v>496</v>
      </c>
      <c r="E9" s="6" t="s">
        <v>493</v>
      </c>
      <c r="F9" s="6" t="s">
        <v>497</v>
      </c>
    </row>
    <row r="10" customFormat="false" ht="124.6" hidden="false" customHeight="false" outlineLevel="0" collapsed="false">
      <c r="A10" s="8" t="n">
        <v>3</v>
      </c>
      <c r="B10" s="7" t="s">
        <v>498</v>
      </c>
      <c r="C10" s="8" t="s">
        <v>64</v>
      </c>
      <c r="D10" s="8" t="s">
        <v>499</v>
      </c>
      <c r="E10" s="8" t="s">
        <v>493</v>
      </c>
      <c r="F10" s="8" t="s">
        <v>500</v>
      </c>
    </row>
    <row r="11" customFormat="false" ht="124.6" hidden="false" customHeight="false" outlineLevel="0" collapsed="false">
      <c r="A11" s="6" t="n">
        <v>4</v>
      </c>
      <c r="B11" s="5" t="s">
        <v>501</v>
      </c>
      <c r="C11" s="6" t="s">
        <v>64</v>
      </c>
      <c r="D11" s="6" t="s">
        <v>502</v>
      </c>
      <c r="E11" s="6" t="s">
        <v>493</v>
      </c>
      <c r="F11" s="6" t="s">
        <v>503</v>
      </c>
    </row>
    <row r="12" customFormat="false" ht="79.85" hidden="false" customHeight="false" outlineLevel="0" collapsed="false">
      <c r="A12" s="8" t="n">
        <v>5</v>
      </c>
      <c r="B12" s="7" t="s">
        <v>504</v>
      </c>
      <c r="C12" s="8" t="s">
        <v>64</v>
      </c>
      <c r="D12" s="8" t="s">
        <v>505</v>
      </c>
      <c r="E12" s="8" t="s">
        <v>493</v>
      </c>
      <c r="F12" s="8" t="s">
        <v>506</v>
      </c>
    </row>
    <row r="13" customFormat="false" ht="79.85" hidden="false" customHeight="false" outlineLevel="0" collapsed="false">
      <c r="A13" s="6" t="n">
        <v>6</v>
      </c>
      <c r="B13" s="5" t="s">
        <v>507</v>
      </c>
      <c r="C13" s="6" t="s">
        <v>64</v>
      </c>
      <c r="D13" s="6" t="s">
        <v>508</v>
      </c>
      <c r="E13" s="6" t="s">
        <v>493</v>
      </c>
      <c r="F13" s="6" t="s">
        <v>509</v>
      </c>
    </row>
    <row r="14" customFormat="false" ht="79.85" hidden="false" customHeight="false" outlineLevel="0" collapsed="false">
      <c r="A14" s="8" t="n">
        <v>7</v>
      </c>
      <c r="B14" s="7" t="s">
        <v>510</v>
      </c>
      <c r="C14" s="8" t="s">
        <v>64</v>
      </c>
      <c r="D14" s="8" t="s">
        <v>511</v>
      </c>
      <c r="E14" s="8" t="s">
        <v>493</v>
      </c>
      <c r="F14" s="8" t="s">
        <v>512</v>
      </c>
    </row>
    <row r="15" customFormat="false" ht="15" hidden="false" customHeight="false" outlineLevel="0" collapsed="false">
      <c r="A15" s="6" t="n">
        <v>8</v>
      </c>
      <c r="B15" s="5" t="s">
        <v>513</v>
      </c>
      <c r="C15" s="6" t="s">
        <v>64</v>
      </c>
      <c r="D15" s="6" t="s">
        <v>72</v>
      </c>
      <c r="E15" s="6" t="s">
        <v>493</v>
      </c>
      <c r="F15" s="6" t="s">
        <v>514</v>
      </c>
    </row>
    <row r="16" customFormat="false" ht="35.05" hidden="false" customHeight="false" outlineLevel="0" collapsed="false">
      <c r="A16" s="8" t="n">
        <v>9</v>
      </c>
      <c r="B16" s="7" t="s">
        <v>515</v>
      </c>
      <c r="C16" s="8" t="s">
        <v>64</v>
      </c>
      <c r="D16" s="8" t="s">
        <v>516</v>
      </c>
      <c r="E16" s="8" t="s">
        <v>493</v>
      </c>
      <c r="F16" s="8" t="s">
        <v>517</v>
      </c>
    </row>
    <row r="17" customFormat="false" ht="35.05" hidden="false" customHeight="false" outlineLevel="0" collapsed="false">
      <c r="A17" s="6" t="n">
        <v>10</v>
      </c>
      <c r="B17" s="5" t="s">
        <v>518</v>
      </c>
      <c r="C17" s="6" t="s">
        <v>64</v>
      </c>
      <c r="D17" s="6" t="s">
        <v>519</v>
      </c>
      <c r="E17" s="6" t="s">
        <v>493</v>
      </c>
      <c r="F17" s="6" t="s">
        <v>520</v>
      </c>
    </row>
    <row r="18" customFormat="false" ht="35.05" hidden="false" customHeight="false" outlineLevel="0" collapsed="false">
      <c r="A18" s="8" t="n">
        <v>11</v>
      </c>
      <c r="B18" s="7" t="s">
        <v>521</v>
      </c>
      <c r="C18" s="8" t="s">
        <v>64</v>
      </c>
      <c r="D18" s="8" t="s">
        <v>522</v>
      </c>
      <c r="E18" s="8" t="s">
        <v>493</v>
      </c>
      <c r="F18" s="8" t="s">
        <v>523</v>
      </c>
    </row>
    <row r="19" customFormat="false" ht="46.25" hidden="false" customHeight="false" outlineLevel="0" collapsed="false">
      <c r="A19" s="6" t="n">
        <v>12</v>
      </c>
      <c r="B19" s="5" t="s">
        <v>524</v>
      </c>
      <c r="C19" s="6" t="s">
        <v>64</v>
      </c>
      <c r="D19" s="6" t="s">
        <v>525</v>
      </c>
      <c r="E19" s="6" t="s">
        <v>493</v>
      </c>
      <c r="F19" s="6" t="s">
        <v>526</v>
      </c>
    </row>
    <row r="20" customFormat="false" ht="23.85" hidden="false" customHeight="false" outlineLevel="0" collapsed="false">
      <c r="A20" s="8" t="n">
        <v>13</v>
      </c>
      <c r="B20" s="7" t="s">
        <v>527</v>
      </c>
      <c r="C20" s="8" t="s">
        <v>64</v>
      </c>
      <c r="D20" s="8" t="s">
        <v>528</v>
      </c>
      <c r="E20" s="8" t="s">
        <v>493</v>
      </c>
      <c r="F20" s="8" t="s">
        <v>529</v>
      </c>
    </row>
    <row r="21" customFormat="false" ht="68.65" hidden="false" customHeight="false" outlineLevel="0" collapsed="false">
      <c r="A21" s="6" t="n">
        <v>14</v>
      </c>
      <c r="B21" s="5" t="s">
        <v>530</v>
      </c>
      <c r="C21" s="6" t="s">
        <v>64</v>
      </c>
      <c r="D21" s="6" t="s">
        <v>531</v>
      </c>
      <c r="E21" s="6" t="s">
        <v>493</v>
      </c>
      <c r="F21" s="6" t="s">
        <v>532</v>
      </c>
    </row>
    <row r="22" customFormat="false" ht="79.85" hidden="false" customHeight="false" outlineLevel="0" collapsed="false">
      <c r="A22" s="8" t="n">
        <v>15</v>
      </c>
      <c r="B22" s="7" t="s">
        <v>533</v>
      </c>
      <c r="C22" s="8" t="s">
        <v>64</v>
      </c>
      <c r="D22" s="8" t="s">
        <v>534</v>
      </c>
      <c r="E22" s="8" t="s">
        <v>493</v>
      </c>
      <c r="F22" s="8" t="s">
        <v>535</v>
      </c>
    </row>
    <row r="23" customFormat="false" ht="102.2" hidden="false" customHeight="false" outlineLevel="0" collapsed="false">
      <c r="A23" s="6" t="n">
        <v>16</v>
      </c>
      <c r="B23" s="5" t="s">
        <v>536</v>
      </c>
      <c r="C23" s="6" t="s">
        <v>64</v>
      </c>
      <c r="D23" s="6" t="s">
        <v>72</v>
      </c>
      <c r="E23" s="6" t="s">
        <v>493</v>
      </c>
      <c r="F23" s="6" t="s">
        <v>537</v>
      </c>
    </row>
    <row r="24" customFormat="false" ht="247.75" hidden="false" customHeight="false" outlineLevel="0" collapsed="false">
      <c r="A24" s="8" t="n">
        <v>17</v>
      </c>
      <c r="B24" s="7" t="s">
        <v>538</v>
      </c>
      <c r="C24" s="8" t="s">
        <v>64</v>
      </c>
      <c r="D24" s="8" t="s">
        <v>72</v>
      </c>
      <c r="E24" s="8" t="s">
        <v>493</v>
      </c>
      <c r="F24" s="8" t="s">
        <v>539</v>
      </c>
    </row>
    <row r="25" customFormat="false" ht="35.05" hidden="false" customHeight="false" outlineLevel="0" collapsed="false">
      <c r="A25" s="6" t="n">
        <v>18</v>
      </c>
      <c r="B25" s="5" t="s">
        <v>540</v>
      </c>
      <c r="C25" s="6" t="s">
        <v>64</v>
      </c>
      <c r="D25" s="6" t="s">
        <v>541</v>
      </c>
      <c r="E25" s="6" t="s">
        <v>493</v>
      </c>
      <c r="F25" s="6" t="s">
        <v>542</v>
      </c>
    </row>
    <row r="26" customFormat="false" ht="113.4" hidden="false" customHeight="false" outlineLevel="0" collapsed="false">
      <c r="A26" s="8" t="n">
        <v>19</v>
      </c>
      <c r="B26" s="7" t="s">
        <v>543</v>
      </c>
      <c r="C26" s="8" t="s">
        <v>64</v>
      </c>
      <c r="D26" s="8" t="s">
        <v>72</v>
      </c>
      <c r="E26" s="8" t="s">
        <v>493</v>
      </c>
      <c r="F26" s="8" t="s">
        <v>544</v>
      </c>
    </row>
    <row r="27" customFormat="false" ht="91" hidden="false" customHeight="false" outlineLevel="0" collapsed="false">
      <c r="A27" s="6" t="n">
        <v>20</v>
      </c>
      <c r="B27" s="5" t="s">
        <v>545</v>
      </c>
      <c r="C27" s="6" t="s">
        <v>64</v>
      </c>
      <c r="D27" s="6" t="s">
        <v>546</v>
      </c>
      <c r="E27" s="6" t="s">
        <v>493</v>
      </c>
      <c r="F27" s="6" t="s">
        <v>547</v>
      </c>
    </row>
    <row r="28" customFormat="false" ht="15" hidden="false" customHeight="false" outlineLevel="0" collapsed="false">
      <c r="A28" s="8" t="n">
        <v>21</v>
      </c>
      <c r="B28" s="7" t="s">
        <v>548</v>
      </c>
      <c r="C28" s="8" t="s">
        <v>64</v>
      </c>
      <c r="D28" s="8" t="s">
        <v>72</v>
      </c>
      <c r="E28" s="8" t="s">
        <v>493</v>
      </c>
      <c r="F28" s="8" t="s">
        <v>549</v>
      </c>
    </row>
    <row r="29" customFormat="false" ht="23.85" hidden="false" customHeight="false" outlineLevel="0" collapsed="false">
      <c r="A29" s="6" t="n">
        <v>22</v>
      </c>
      <c r="B29" s="5" t="s">
        <v>550</v>
      </c>
      <c r="C29" s="6" t="s">
        <v>64</v>
      </c>
      <c r="D29" s="6" t="s">
        <v>551</v>
      </c>
      <c r="E29" s="6" t="s">
        <v>493</v>
      </c>
      <c r="F29" s="6" t="s">
        <v>552</v>
      </c>
    </row>
    <row r="30" customFormat="false" ht="15" hidden="false" customHeight="false" outlineLevel="0" collapsed="false">
      <c r="A30" s="8" t="n">
        <v>23</v>
      </c>
      <c r="B30" s="7" t="s">
        <v>553</v>
      </c>
      <c r="C30" s="8" t="s">
        <v>64</v>
      </c>
      <c r="D30" s="8" t="s">
        <v>72</v>
      </c>
      <c r="E30" s="8" t="s">
        <v>493</v>
      </c>
      <c r="F30" s="8" t="s">
        <v>554</v>
      </c>
    </row>
    <row r="31" customFormat="false" ht="15" hidden="false" customHeight="false" outlineLevel="0" collapsed="false">
      <c r="A31" s="6" t="n">
        <v>24</v>
      </c>
      <c r="B31" s="5" t="s">
        <v>555</v>
      </c>
      <c r="C31" s="6" t="s">
        <v>64</v>
      </c>
      <c r="D31" s="6" t="s">
        <v>72</v>
      </c>
      <c r="E31" s="6" t="s">
        <v>556</v>
      </c>
      <c r="F31" s="6" t="s">
        <v>557</v>
      </c>
    </row>
    <row r="32" customFormat="false" ht="46.25" hidden="false" customHeight="false" outlineLevel="0" collapsed="false">
      <c r="A32" s="8" t="n">
        <v>25</v>
      </c>
      <c r="B32" s="7" t="s">
        <v>558</v>
      </c>
      <c r="C32" s="8" t="s">
        <v>98</v>
      </c>
      <c r="D32" s="8" t="s">
        <v>99</v>
      </c>
      <c r="E32" s="8" t="s">
        <v>559</v>
      </c>
      <c r="F32" s="8" t="s">
        <v>560</v>
      </c>
    </row>
    <row r="33" customFormat="false" ht="15" hidden="false" customHeight="false" outlineLevel="0" collapsed="false">
      <c r="A33" s="6" t="n">
        <v>26</v>
      </c>
      <c r="B33" s="5" t="s">
        <v>561</v>
      </c>
      <c r="C33" s="6" t="s">
        <v>98</v>
      </c>
      <c r="D33" s="6" t="s">
        <v>99</v>
      </c>
      <c r="E33" s="6" t="s">
        <v>559</v>
      </c>
      <c r="F33" s="6" t="s">
        <v>562</v>
      </c>
    </row>
    <row r="34" customFormat="false" ht="23.85" hidden="false" customHeight="false" outlineLevel="0" collapsed="false">
      <c r="A34" s="8" t="n">
        <v>27</v>
      </c>
      <c r="B34" s="7" t="s">
        <v>563</v>
      </c>
      <c r="C34" s="8" t="s">
        <v>98</v>
      </c>
      <c r="D34" s="8" t="s">
        <v>333</v>
      </c>
      <c r="E34" s="8" t="s">
        <v>559</v>
      </c>
      <c r="F34" s="8" t="s">
        <v>564</v>
      </c>
    </row>
    <row r="35" customFormat="false" ht="23.85" hidden="false" customHeight="false" outlineLevel="0" collapsed="false">
      <c r="A35" s="6" t="n">
        <v>28</v>
      </c>
      <c r="B35" s="5" t="s">
        <v>565</v>
      </c>
      <c r="C35" s="6" t="s">
        <v>98</v>
      </c>
      <c r="D35" s="6" t="s">
        <v>333</v>
      </c>
      <c r="E35" s="6" t="s">
        <v>559</v>
      </c>
      <c r="F35" s="6" t="s">
        <v>566</v>
      </c>
    </row>
    <row r="36" customFormat="false" ht="15" hidden="false" customHeight="false" outlineLevel="0" collapsed="false">
      <c r="A36" s="8" t="n">
        <v>29</v>
      </c>
      <c r="B36" s="7" t="s">
        <v>567</v>
      </c>
      <c r="C36" s="8" t="s">
        <v>98</v>
      </c>
      <c r="D36" s="8" t="s">
        <v>99</v>
      </c>
      <c r="E36" s="8" t="s">
        <v>559</v>
      </c>
      <c r="F36" s="8" t="s">
        <v>568</v>
      </c>
    </row>
    <row r="37" customFormat="false" ht="23.85" hidden="false" customHeight="false" outlineLevel="0" collapsed="false">
      <c r="A37" s="6" t="n">
        <v>30</v>
      </c>
      <c r="B37" s="5" t="s">
        <v>569</v>
      </c>
      <c r="C37" s="6" t="s">
        <v>98</v>
      </c>
      <c r="D37" s="6" t="s">
        <v>570</v>
      </c>
      <c r="E37" s="6" t="s">
        <v>559</v>
      </c>
      <c r="F37" s="6" t="s">
        <v>571</v>
      </c>
    </row>
    <row r="38" customFormat="false" ht="23.85" hidden="false" customHeight="false" outlineLevel="0" collapsed="false">
      <c r="A38" s="8" t="n">
        <v>31</v>
      </c>
      <c r="B38" s="7" t="s">
        <v>572</v>
      </c>
      <c r="C38" s="8" t="s">
        <v>98</v>
      </c>
      <c r="D38" s="8" t="s">
        <v>573</v>
      </c>
      <c r="E38" s="8" t="s">
        <v>559</v>
      </c>
      <c r="F38" s="8" t="s">
        <v>574</v>
      </c>
    </row>
    <row r="39" customFormat="false" ht="124.6" hidden="false" customHeight="false" outlineLevel="0" collapsed="false">
      <c r="A39" s="6" t="n">
        <v>32</v>
      </c>
      <c r="B39" s="5" t="s">
        <v>575</v>
      </c>
      <c r="C39" s="6" t="s">
        <v>98</v>
      </c>
      <c r="D39" s="6" t="s">
        <v>99</v>
      </c>
      <c r="E39" s="6" t="s">
        <v>559</v>
      </c>
      <c r="F39" s="6" t="s">
        <v>576</v>
      </c>
    </row>
    <row r="40" customFormat="false" ht="135.8" hidden="false" customHeight="false" outlineLevel="0" collapsed="false">
      <c r="A40" s="8" t="n">
        <v>33</v>
      </c>
      <c r="B40" s="7" t="s">
        <v>577</v>
      </c>
      <c r="C40" s="8" t="s">
        <v>98</v>
      </c>
      <c r="D40" s="8" t="s">
        <v>99</v>
      </c>
      <c r="E40" s="8" t="s">
        <v>559</v>
      </c>
      <c r="F40" s="8" t="s">
        <v>578</v>
      </c>
    </row>
    <row r="41" customFormat="false" ht="113.4" hidden="false" customHeight="false" outlineLevel="0" collapsed="false">
      <c r="A41" s="6" t="n">
        <v>34</v>
      </c>
      <c r="B41" s="5" t="s">
        <v>579</v>
      </c>
      <c r="C41" s="6" t="s">
        <v>98</v>
      </c>
      <c r="D41" s="6" t="s">
        <v>99</v>
      </c>
      <c r="E41" s="6" t="s">
        <v>559</v>
      </c>
      <c r="F41" s="6" t="s">
        <v>580</v>
      </c>
    </row>
    <row r="42" customFormat="false" ht="68.65" hidden="false" customHeight="false" outlineLevel="0" collapsed="false">
      <c r="A42" s="8" t="n">
        <v>35</v>
      </c>
      <c r="B42" s="7" t="s">
        <v>581</v>
      </c>
      <c r="C42" s="8" t="s">
        <v>98</v>
      </c>
      <c r="D42" s="8" t="s">
        <v>99</v>
      </c>
      <c r="E42" s="8" t="s">
        <v>559</v>
      </c>
      <c r="F42" s="8" t="s">
        <v>582</v>
      </c>
    </row>
    <row r="43" customFormat="false" ht="46.25" hidden="false" customHeight="false" outlineLevel="0" collapsed="false">
      <c r="A43" s="6" t="n">
        <v>36</v>
      </c>
      <c r="B43" s="5" t="s">
        <v>583</v>
      </c>
      <c r="C43" s="6" t="s">
        <v>98</v>
      </c>
      <c r="D43" s="6" t="s">
        <v>99</v>
      </c>
      <c r="E43" s="6" t="s">
        <v>559</v>
      </c>
      <c r="F43" s="6" t="s">
        <v>584</v>
      </c>
    </row>
    <row r="44" customFormat="false" ht="15" hidden="false" customHeight="false" outlineLevel="0" collapsed="false">
      <c r="A44" s="8" t="n">
        <v>37</v>
      </c>
      <c r="B44" s="7" t="s">
        <v>585</v>
      </c>
      <c r="C44" s="8" t="s">
        <v>98</v>
      </c>
      <c r="D44" s="8" t="s">
        <v>586</v>
      </c>
      <c r="E44" s="8" t="s">
        <v>559</v>
      </c>
      <c r="F44" s="8" t="s">
        <v>587</v>
      </c>
    </row>
    <row r="45" customFormat="false" ht="15" hidden="false" customHeight="false" outlineLevel="0" collapsed="false">
      <c r="A45" s="6" t="n">
        <v>38</v>
      </c>
      <c r="B45" s="5" t="s">
        <v>588</v>
      </c>
      <c r="C45" s="6" t="s">
        <v>98</v>
      </c>
      <c r="D45" s="6" t="s">
        <v>99</v>
      </c>
      <c r="E45" s="6" t="s">
        <v>559</v>
      </c>
      <c r="F45" s="6" t="s">
        <v>589</v>
      </c>
    </row>
    <row r="46" customFormat="false" ht="23.85" hidden="false" customHeight="false" outlineLevel="0" collapsed="false">
      <c r="A46" s="8" t="n">
        <v>39</v>
      </c>
      <c r="B46" s="7" t="s">
        <v>590</v>
      </c>
      <c r="C46" s="8" t="s">
        <v>98</v>
      </c>
      <c r="D46" s="8" t="s">
        <v>591</v>
      </c>
      <c r="E46" s="8" t="s">
        <v>559</v>
      </c>
      <c r="F46" s="8" t="s">
        <v>592</v>
      </c>
    </row>
    <row r="47" customFormat="false" ht="46.25" hidden="false" customHeight="false" outlineLevel="0" collapsed="false">
      <c r="A47" s="6" t="n">
        <v>40</v>
      </c>
      <c r="B47" s="5" t="s">
        <v>593</v>
      </c>
      <c r="C47" s="6" t="s">
        <v>98</v>
      </c>
      <c r="D47" s="6" t="s">
        <v>594</v>
      </c>
      <c r="E47" s="6" t="s">
        <v>559</v>
      </c>
      <c r="F47" s="6" t="s">
        <v>595</v>
      </c>
    </row>
    <row r="48" customFormat="false" ht="46.25" hidden="false" customHeight="false" outlineLevel="0" collapsed="false">
      <c r="A48" s="8" t="n">
        <v>41</v>
      </c>
      <c r="B48" s="7" t="s">
        <v>596</v>
      </c>
      <c r="C48" s="8" t="s">
        <v>98</v>
      </c>
      <c r="D48" s="8" t="s">
        <v>597</v>
      </c>
      <c r="E48" s="8" t="s">
        <v>559</v>
      </c>
      <c r="F48" s="8" t="s">
        <v>598</v>
      </c>
    </row>
    <row r="49" customFormat="false" ht="35.05" hidden="false" customHeight="false" outlineLevel="0" collapsed="false">
      <c r="A49" s="6" t="n">
        <v>42</v>
      </c>
      <c r="B49" s="5" t="s">
        <v>599</v>
      </c>
      <c r="C49" s="6" t="s">
        <v>98</v>
      </c>
      <c r="D49" s="6" t="s">
        <v>600</v>
      </c>
      <c r="E49" s="6" t="s">
        <v>559</v>
      </c>
      <c r="F49" s="6" t="s">
        <v>601</v>
      </c>
    </row>
    <row r="50" customFormat="false" ht="46.25" hidden="false" customHeight="false" outlineLevel="0" collapsed="false">
      <c r="A50" s="8" t="n">
        <v>43</v>
      </c>
      <c r="B50" s="7" t="s">
        <v>602</v>
      </c>
      <c r="C50" s="8" t="s">
        <v>98</v>
      </c>
      <c r="D50" s="8" t="s">
        <v>603</v>
      </c>
      <c r="E50" s="8" t="s">
        <v>559</v>
      </c>
      <c r="F50" s="8" t="s">
        <v>604</v>
      </c>
    </row>
    <row r="51" customFormat="false" ht="23.85" hidden="false" customHeight="false" outlineLevel="0" collapsed="false">
      <c r="A51" s="6" t="n">
        <v>44</v>
      </c>
      <c r="B51" s="5" t="s">
        <v>605</v>
      </c>
      <c r="C51" s="6" t="s">
        <v>98</v>
      </c>
      <c r="D51" s="6" t="s">
        <v>606</v>
      </c>
      <c r="E51" s="6" t="s">
        <v>559</v>
      </c>
      <c r="F51" s="6" t="s">
        <v>607</v>
      </c>
    </row>
    <row r="52" customFormat="false" ht="57.45" hidden="false" customHeight="false" outlineLevel="0" collapsed="false">
      <c r="A52" s="8" t="n">
        <v>45</v>
      </c>
      <c r="B52" s="7" t="s">
        <v>608</v>
      </c>
      <c r="C52" s="8" t="s">
        <v>98</v>
      </c>
      <c r="D52" s="8" t="s">
        <v>609</v>
      </c>
      <c r="E52" s="8" t="s">
        <v>559</v>
      </c>
      <c r="F52" s="8" t="s">
        <v>610</v>
      </c>
    </row>
    <row r="53" customFormat="false" ht="68.65" hidden="false" customHeight="false" outlineLevel="0" collapsed="false">
      <c r="A53" s="6" t="n">
        <v>46</v>
      </c>
      <c r="B53" s="5" t="s">
        <v>611</v>
      </c>
      <c r="C53" s="6" t="s">
        <v>98</v>
      </c>
      <c r="D53" s="6" t="s">
        <v>612</v>
      </c>
      <c r="E53" s="6" t="s">
        <v>559</v>
      </c>
      <c r="F53" s="6" t="s">
        <v>613</v>
      </c>
    </row>
    <row r="54" customFormat="false" ht="113.4" hidden="false" customHeight="false" outlineLevel="0" collapsed="false">
      <c r="A54" s="8" t="n">
        <v>47</v>
      </c>
      <c r="B54" s="7" t="s">
        <v>614</v>
      </c>
      <c r="C54" s="8" t="s">
        <v>98</v>
      </c>
      <c r="D54" s="8" t="s">
        <v>99</v>
      </c>
      <c r="E54" s="8" t="s">
        <v>559</v>
      </c>
      <c r="F54" s="8" t="s">
        <v>615</v>
      </c>
    </row>
    <row r="55" customFormat="false" ht="135.8" hidden="false" customHeight="false" outlineLevel="0" collapsed="false">
      <c r="A55" s="6" t="n">
        <v>48</v>
      </c>
      <c r="B55" s="5" t="s">
        <v>616</v>
      </c>
      <c r="C55" s="6" t="s">
        <v>98</v>
      </c>
      <c r="D55" s="6" t="s">
        <v>99</v>
      </c>
      <c r="E55" s="6" t="s">
        <v>559</v>
      </c>
      <c r="F55" s="6" t="s">
        <v>617</v>
      </c>
    </row>
    <row r="56" customFormat="false" ht="23.85" hidden="false" customHeight="false" outlineLevel="0" collapsed="false">
      <c r="A56" s="8" t="n">
        <v>49</v>
      </c>
      <c r="B56" s="7" t="s">
        <v>618</v>
      </c>
      <c r="C56" s="8" t="s">
        <v>98</v>
      </c>
      <c r="D56" s="8" t="s">
        <v>99</v>
      </c>
      <c r="E56" s="8" t="s">
        <v>559</v>
      </c>
      <c r="F56" s="8" t="s">
        <v>619</v>
      </c>
    </row>
    <row r="57" customFormat="false" ht="35.05" hidden="false" customHeight="false" outlineLevel="0" collapsed="false">
      <c r="A57" s="6" t="n">
        <v>50</v>
      </c>
      <c r="B57" s="5" t="s">
        <v>620</v>
      </c>
      <c r="C57" s="6" t="s">
        <v>98</v>
      </c>
      <c r="D57" s="6" t="s">
        <v>99</v>
      </c>
      <c r="E57" s="6" t="s">
        <v>559</v>
      </c>
      <c r="F57" s="6" t="s">
        <v>621</v>
      </c>
    </row>
    <row r="58" customFormat="false" ht="35.05" hidden="false" customHeight="false" outlineLevel="0" collapsed="false">
      <c r="A58" s="8" t="n">
        <v>51</v>
      </c>
      <c r="B58" s="7" t="s">
        <v>622</v>
      </c>
      <c r="C58" s="8" t="s">
        <v>98</v>
      </c>
      <c r="D58" s="8" t="s">
        <v>623</v>
      </c>
      <c r="E58" s="8" t="s">
        <v>559</v>
      </c>
      <c r="F58" s="8" t="s">
        <v>624</v>
      </c>
    </row>
    <row r="59" customFormat="false" ht="35.05" hidden="false" customHeight="false" outlineLevel="0" collapsed="false">
      <c r="A59" s="6" t="n">
        <v>52</v>
      </c>
      <c r="B59" s="5" t="s">
        <v>625</v>
      </c>
      <c r="C59" s="6" t="s">
        <v>98</v>
      </c>
      <c r="D59" s="6" t="s">
        <v>623</v>
      </c>
      <c r="E59" s="6" t="s">
        <v>559</v>
      </c>
      <c r="F59" s="6" t="s">
        <v>626</v>
      </c>
    </row>
    <row r="60" customFormat="false" ht="102.2" hidden="false" customHeight="false" outlineLevel="0" collapsed="false">
      <c r="A60" s="8" t="n">
        <v>53</v>
      </c>
      <c r="B60" s="7" t="s">
        <v>627</v>
      </c>
      <c r="C60" s="8" t="s">
        <v>98</v>
      </c>
      <c r="D60" s="8" t="s">
        <v>431</v>
      </c>
      <c r="E60" s="8" t="s">
        <v>559</v>
      </c>
      <c r="F60" s="8" t="s">
        <v>628</v>
      </c>
    </row>
    <row r="61" customFormat="false" ht="135.8" hidden="false" customHeight="false" outlineLevel="0" collapsed="false">
      <c r="A61" s="6" t="n">
        <v>54</v>
      </c>
      <c r="B61" s="5" t="s">
        <v>629</v>
      </c>
      <c r="C61" s="6" t="s">
        <v>98</v>
      </c>
      <c r="D61" s="6" t="s">
        <v>431</v>
      </c>
      <c r="E61" s="6" t="s">
        <v>559</v>
      </c>
      <c r="F61" s="6" t="s">
        <v>630</v>
      </c>
    </row>
    <row r="62" customFormat="false" ht="91" hidden="false" customHeight="false" outlineLevel="0" collapsed="false">
      <c r="A62" s="8" t="n">
        <v>55</v>
      </c>
      <c r="B62" s="7" t="s">
        <v>631</v>
      </c>
      <c r="C62" s="8" t="s">
        <v>98</v>
      </c>
      <c r="D62" s="8" t="s">
        <v>431</v>
      </c>
      <c r="E62" s="8" t="s">
        <v>559</v>
      </c>
      <c r="F62" s="8" t="s">
        <v>632</v>
      </c>
    </row>
    <row r="63" customFormat="false" ht="113.4" hidden="false" customHeight="false" outlineLevel="0" collapsed="false">
      <c r="A63" s="6" t="n">
        <v>56</v>
      </c>
      <c r="B63" s="5" t="s">
        <v>633</v>
      </c>
      <c r="C63" s="6" t="s">
        <v>98</v>
      </c>
      <c r="D63" s="6" t="s">
        <v>431</v>
      </c>
      <c r="E63" s="6" t="s">
        <v>559</v>
      </c>
      <c r="F63" s="6" t="s">
        <v>634</v>
      </c>
    </row>
    <row r="64" customFormat="false" ht="35.05" hidden="false" customHeight="false" outlineLevel="0" collapsed="false">
      <c r="A64" s="8" t="n">
        <v>57</v>
      </c>
      <c r="B64" s="7" t="s">
        <v>635</v>
      </c>
      <c r="C64" s="8" t="s">
        <v>98</v>
      </c>
      <c r="D64" s="8" t="s">
        <v>636</v>
      </c>
      <c r="E64" s="8" t="s">
        <v>559</v>
      </c>
      <c r="F64" s="8" t="s">
        <v>637</v>
      </c>
    </row>
  </sheetData>
  <mergeCells count="4"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12</v>
      </c>
    </row>
    <row r="2" customFormat="false" ht="15" hidden="false" customHeight="true" outlineLevel="0" collapsed="false">
      <c r="A2" s="2" t="s">
        <v>638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639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640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641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15" hidden="false" customHeight="false" outlineLevel="0" collapsed="false">
      <c r="A8" s="8" t="n">
        <v>1</v>
      </c>
      <c r="B8" s="7" t="s">
        <v>642</v>
      </c>
      <c r="C8" s="8" t="s">
        <v>643</v>
      </c>
      <c r="D8" s="8" t="s">
        <v>644</v>
      </c>
      <c r="E8" s="8" t="s">
        <v>645</v>
      </c>
      <c r="F8" s="8" t="s">
        <v>646</v>
      </c>
    </row>
    <row r="9" customFormat="false" ht="15" hidden="false" customHeight="false" outlineLevel="0" collapsed="false">
      <c r="A9" s="6" t="n">
        <v>2</v>
      </c>
      <c r="B9" s="5" t="s">
        <v>647</v>
      </c>
      <c r="C9" s="6" t="s">
        <v>643</v>
      </c>
      <c r="D9" s="6" t="s">
        <v>644</v>
      </c>
      <c r="E9" s="6" t="s">
        <v>645</v>
      </c>
      <c r="F9" s="6" t="s">
        <v>648</v>
      </c>
    </row>
    <row r="10" customFormat="false" ht="15" hidden="false" customHeight="false" outlineLevel="0" collapsed="false">
      <c r="A10" s="8" t="n">
        <v>3</v>
      </c>
      <c r="B10" s="7" t="s">
        <v>649</v>
      </c>
      <c r="C10" s="8" t="s">
        <v>643</v>
      </c>
      <c r="D10" s="8" t="s">
        <v>644</v>
      </c>
      <c r="E10" s="8" t="s">
        <v>645</v>
      </c>
      <c r="F10" s="8" t="s">
        <v>650</v>
      </c>
    </row>
    <row r="11" customFormat="false" ht="91" hidden="false" customHeight="false" outlineLevel="0" collapsed="false">
      <c r="A11" s="6" t="n">
        <v>4</v>
      </c>
      <c r="B11" s="5" t="s">
        <v>651</v>
      </c>
      <c r="C11" s="6" t="s">
        <v>643</v>
      </c>
      <c r="D11" s="6" t="s">
        <v>652</v>
      </c>
      <c r="E11" s="6" t="s">
        <v>645</v>
      </c>
      <c r="F11" s="6" t="s">
        <v>653</v>
      </c>
    </row>
    <row r="12" customFormat="false" ht="46.25" hidden="false" customHeight="false" outlineLevel="0" collapsed="false">
      <c r="A12" s="8" t="n">
        <v>5</v>
      </c>
      <c r="B12" s="7" t="s">
        <v>654</v>
      </c>
      <c r="C12" s="8" t="s">
        <v>643</v>
      </c>
      <c r="D12" s="8" t="s">
        <v>655</v>
      </c>
      <c r="E12" s="8" t="s">
        <v>645</v>
      </c>
      <c r="F12" s="8" t="s">
        <v>656</v>
      </c>
    </row>
    <row r="13" customFormat="false" ht="91" hidden="false" customHeight="false" outlineLevel="0" collapsed="false">
      <c r="A13" s="6" t="n">
        <v>6</v>
      </c>
      <c r="B13" s="5" t="s">
        <v>657</v>
      </c>
      <c r="C13" s="6" t="s">
        <v>643</v>
      </c>
      <c r="D13" s="6" t="s">
        <v>658</v>
      </c>
      <c r="E13" s="6" t="s">
        <v>645</v>
      </c>
      <c r="F13" s="6" t="s">
        <v>659</v>
      </c>
    </row>
    <row r="14" customFormat="false" ht="46.25" hidden="false" customHeight="false" outlineLevel="0" collapsed="false">
      <c r="A14" s="8" t="n">
        <v>7</v>
      </c>
      <c r="B14" s="7" t="s">
        <v>660</v>
      </c>
      <c r="C14" s="8" t="s">
        <v>643</v>
      </c>
      <c r="D14" s="8" t="s">
        <v>661</v>
      </c>
      <c r="E14" s="8" t="s">
        <v>645</v>
      </c>
      <c r="F14" s="8" t="s">
        <v>662</v>
      </c>
    </row>
    <row r="15" customFormat="false" ht="15" hidden="false" customHeight="false" outlineLevel="0" collapsed="false">
      <c r="A15" s="6" t="n">
        <v>8</v>
      </c>
      <c r="B15" s="5" t="s">
        <v>663</v>
      </c>
      <c r="C15" s="6" t="s">
        <v>643</v>
      </c>
      <c r="D15" s="6" t="s">
        <v>644</v>
      </c>
      <c r="E15" s="6" t="s">
        <v>645</v>
      </c>
      <c r="F15" s="6" t="s">
        <v>664</v>
      </c>
    </row>
    <row r="16" customFormat="false" ht="23.85" hidden="false" customHeight="false" outlineLevel="0" collapsed="false">
      <c r="A16" s="8" t="n">
        <v>9</v>
      </c>
      <c r="B16" s="7" t="s">
        <v>665</v>
      </c>
      <c r="C16" s="8" t="s">
        <v>98</v>
      </c>
      <c r="D16" s="8" t="s">
        <v>99</v>
      </c>
      <c r="E16" s="8" t="s">
        <v>666</v>
      </c>
      <c r="F16" s="8" t="s">
        <v>667</v>
      </c>
    </row>
    <row r="17" customFormat="false" ht="23.85" hidden="false" customHeight="false" outlineLevel="0" collapsed="false">
      <c r="A17" s="6" t="n">
        <v>10</v>
      </c>
      <c r="B17" s="5" t="s">
        <v>668</v>
      </c>
      <c r="C17" s="6" t="s">
        <v>98</v>
      </c>
      <c r="D17" s="6" t="s">
        <v>99</v>
      </c>
      <c r="E17" s="6" t="s">
        <v>666</v>
      </c>
      <c r="F17" s="6" t="s">
        <v>669</v>
      </c>
    </row>
    <row r="18" customFormat="false" ht="23.85" hidden="false" customHeight="false" outlineLevel="0" collapsed="false">
      <c r="A18" s="8" t="n">
        <v>11</v>
      </c>
      <c r="B18" s="7" t="s">
        <v>670</v>
      </c>
      <c r="C18" s="8" t="s">
        <v>98</v>
      </c>
      <c r="D18" s="8" t="s">
        <v>671</v>
      </c>
      <c r="E18" s="8" t="s">
        <v>666</v>
      </c>
      <c r="F18" s="8" t="s">
        <v>672</v>
      </c>
    </row>
    <row r="19" customFormat="false" ht="23.85" hidden="false" customHeight="false" outlineLevel="0" collapsed="false">
      <c r="A19" s="6" t="n">
        <v>12</v>
      </c>
      <c r="B19" s="5" t="s">
        <v>673</v>
      </c>
      <c r="C19" s="6" t="s">
        <v>98</v>
      </c>
      <c r="D19" s="6" t="s">
        <v>674</v>
      </c>
      <c r="E19" s="6" t="s">
        <v>666</v>
      </c>
      <c r="F19" s="6" t="s">
        <v>675</v>
      </c>
    </row>
    <row r="20" customFormat="false" ht="35.05" hidden="false" customHeight="false" outlineLevel="0" collapsed="false">
      <c r="A20" s="8" t="n">
        <v>13</v>
      </c>
      <c r="B20" s="7" t="s">
        <v>676</v>
      </c>
      <c r="C20" s="8" t="s">
        <v>98</v>
      </c>
      <c r="D20" s="8" t="s">
        <v>677</v>
      </c>
      <c r="E20" s="8" t="s">
        <v>666</v>
      </c>
      <c r="F20" s="8" t="s">
        <v>678</v>
      </c>
    </row>
    <row r="21" customFormat="false" ht="23.85" hidden="false" customHeight="false" outlineLevel="0" collapsed="false">
      <c r="A21" s="6" t="n">
        <v>14</v>
      </c>
      <c r="B21" s="5" t="s">
        <v>679</v>
      </c>
      <c r="C21" s="6" t="s">
        <v>98</v>
      </c>
      <c r="D21" s="6" t="s">
        <v>680</v>
      </c>
      <c r="E21" s="6" t="s">
        <v>666</v>
      </c>
      <c r="F21" s="6" t="s">
        <v>681</v>
      </c>
    </row>
    <row r="22" customFormat="false" ht="23.85" hidden="false" customHeight="false" outlineLevel="0" collapsed="false">
      <c r="A22" s="8" t="n">
        <v>15</v>
      </c>
      <c r="B22" s="7" t="s">
        <v>682</v>
      </c>
      <c r="C22" s="8" t="s">
        <v>98</v>
      </c>
      <c r="D22" s="8" t="s">
        <v>683</v>
      </c>
      <c r="E22" s="8" t="s">
        <v>666</v>
      </c>
      <c r="F22" s="8" t="s">
        <v>684</v>
      </c>
    </row>
    <row r="23" customFormat="false" ht="35.05" hidden="false" customHeight="false" outlineLevel="0" collapsed="false">
      <c r="A23" s="6" t="n">
        <v>16</v>
      </c>
      <c r="B23" s="5" t="s">
        <v>685</v>
      </c>
      <c r="C23" s="6" t="s">
        <v>98</v>
      </c>
      <c r="D23" s="6" t="s">
        <v>686</v>
      </c>
      <c r="E23" s="6" t="s">
        <v>666</v>
      </c>
      <c r="F23" s="6" t="s">
        <v>687</v>
      </c>
    </row>
    <row r="24" customFormat="false" ht="23.85" hidden="false" customHeight="false" outlineLevel="0" collapsed="false">
      <c r="A24" s="8" t="n">
        <v>17</v>
      </c>
      <c r="B24" s="7" t="s">
        <v>688</v>
      </c>
      <c r="C24" s="8" t="s">
        <v>98</v>
      </c>
      <c r="D24" s="8" t="s">
        <v>689</v>
      </c>
      <c r="E24" s="8" t="s">
        <v>666</v>
      </c>
      <c r="F24" s="8" t="s">
        <v>690</v>
      </c>
    </row>
    <row r="25" customFormat="false" ht="23.85" hidden="false" customHeight="false" outlineLevel="0" collapsed="false">
      <c r="A25" s="6" t="n">
        <v>18</v>
      </c>
      <c r="B25" s="5" t="s">
        <v>691</v>
      </c>
      <c r="C25" s="6" t="s">
        <v>98</v>
      </c>
      <c r="D25" s="6" t="s">
        <v>692</v>
      </c>
      <c r="E25" s="6" t="s">
        <v>666</v>
      </c>
      <c r="F25" s="6" t="s">
        <v>693</v>
      </c>
    </row>
    <row r="26" customFormat="false" ht="35.05" hidden="false" customHeight="false" outlineLevel="0" collapsed="false">
      <c r="A26" s="8" t="n">
        <v>19</v>
      </c>
      <c r="B26" s="7" t="s">
        <v>694</v>
      </c>
      <c r="C26" s="8" t="s">
        <v>98</v>
      </c>
      <c r="D26" s="8" t="s">
        <v>695</v>
      </c>
      <c r="E26" s="8" t="s">
        <v>666</v>
      </c>
      <c r="F26" s="8" t="s">
        <v>696</v>
      </c>
    </row>
    <row r="27" customFormat="false" ht="23.85" hidden="false" customHeight="false" outlineLevel="0" collapsed="false">
      <c r="A27" s="6" t="n">
        <v>20</v>
      </c>
      <c r="B27" s="5" t="s">
        <v>697</v>
      </c>
      <c r="C27" s="6" t="s">
        <v>98</v>
      </c>
      <c r="D27" s="6" t="s">
        <v>99</v>
      </c>
      <c r="E27" s="6" t="s">
        <v>666</v>
      </c>
      <c r="F27" s="6" t="s">
        <v>698</v>
      </c>
    </row>
    <row r="28" customFormat="false" ht="57.45" hidden="false" customHeight="false" outlineLevel="0" collapsed="false">
      <c r="A28" s="8" t="n">
        <v>21</v>
      </c>
      <c r="B28" s="7" t="s">
        <v>699</v>
      </c>
      <c r="C28" s="8" t="s">
        <v>98</v>
      </c>
      <c r="D28" s="8" t="s">
        <v>700</v>
      </c>
      <c r="E28" s="8" t="s">
        <v>666</v>
      </c>
      <c r="F28" s="8" t="s">
        <v>701</v>
      </c>
    </row>
    <row r="29" customFormat="false" ht="57.45" hidden="false" customHeight="false" outlineLevel="0" collapsed="false">
      <c r="A29" s="6" t="n">
        <v>22</v>
      </c>
      <c r="B29" s="5" t="s">
        <v>702</v>
      </c>
      <c r="C29" s="6" t="s">
        <v>98</v>
      </c>
      <c r="D29" s="6" t="s">
        <v>700</v>
      </c>
      <c r="E29" s="6" t="s">
        <v>666</v>
      </c>
      <c r="F29" s="6" t="s">
        <v>703</v>
      </c>
    </row>
    <row r="30" customFormat="false" ht="57.45" hidden="false" customHeight="false" outlineLevel="0" collapsed="false">
      <c r="A30" s="8" t="n">
        <v>23</v>
      </c>
      <c r="B30" s="7" t="s">
        <v>704</v>
      </c>
      <c r="C30" s="8" t="s">
        <v>98</v>
      </c>
      <c r="D30" s="8" t="s">
        <v>700</v>
      </c>
      <c r="E30" s="8" t="s">
        <v>666</v>
      </c>
      <c r="F30" s="8" t="s">
        <v>705</v>
      </c>
    </row>
    <row r="31" customFormat="false" ht="35.05" hidden="false" customHeight="false" outlineLevel="0" collapsed="false">
      <c r="A31" s="6" t="n">
        <v>24</v>
      </c>
      <c r="B31" s="5" t="s">
        <v>706</v>
      </c>
      <c r="C31" s="6" t="s">
        <v>98</v>
      </c>
      <c r="D31" s="6" t="s">
        <v>700</v>
      </c>
      <c r="E31" s="6" t="s">
        <v>666</v>
      </c>
      <c r="F31" s="6" t="s">
        <v>707</v>
      </c>
    </row>
    <row r="32" customFormat="false" ht="91" hidden="false" customHeight="false" outlineLevel="0" collapsed="false">
      <c r="A32" s="8" t="n">
        <v>25</v>
      </c>
      <c r="B32" s="7" t="s">
        <v>708</v>
      </c>
      <c r="C32" s="8" t="s">
        <v>98</v>
      </c>
      <c r="D32" s="8" t="s">
        <v>700</v>
      </c>
      <c r="E32" s="8" t="s">
        <v>666</v>
      </c>
      <c r="F32" s="8" t="s">
        <v>709</v>
      </c>
    </row>
    <row r="33" customFormat="false" ht="23.85" hidden="false" customHeight="false" outlineLevel="0" collapsed="false">
      <c r="A33" s="6" t="n">
        <v>26</v>
      </c>
      <c r="B33" s="5" t="s">
        <v>710</v>
      </c>
      <c r="C33" s="6" t="s">
        <v>98</v>
      </c>
      <c r="D33" s="6" t="s">
        <v>99</v>
      </c>
      <c r="E33" s="6" t="s">
        <v>666</v>
      </c>
      <c r="F33" s="6" t="s">
        <v>711</v>
      </c>
    </row>
    <row r="34" customFormat="false" ht="23.85" hidden="false" customHeight="false" outlineLevel="0" collapsed="false">
      <c r="A34" s="8" t="n">
        <v>27</v>
      </c>
      <c r="B34" s="7" t="s">
        <v>712</v>
      </c>
      <c r="C34" s="8" t="s">
        <v>98</v>
      </c>
      <c r="D34" s="8" t="s">
        <v>99</v>
      </c>
      <c r="E34" s="8" t="s">
        <v>666</v>
      </c>
      <c r="F34" s="8" t="s">
        <v>669</v>
      </c>
    </row>
    <row r="35" customFormat="false" ht="23.85" hidden="false" customHeight="false" outlineLevel="0" collapsed="false">
      <c r="A35" s="6" t="n">
        <v>28</v>
      </c>
      <c r="B35" s="5" t="s">
        <v>713</v>
      </c>
      <c r="C35" s="6" t="s">
        <v>98</v>
      </c>
      <c r="D35" s="6" t="s">
        <v>99</v>
      </c>
      <c r="E35" s="6" t="s">
        <v>666</v>
      </c>
      <c r="F35" s="6" t="s">
        <v>714</v>
      </c>
    </row>
    <row r="36" customFormat="false" ht="23.85" hidden="false" customHeight="false" outlineLevel="0" collapsed="false">
      <c r="A36" s="8" t="n">
        <v>29</v>
      </c>
      <c r="B36" s="7" t="s">
        <v>715</v>
      </c>
      <c r="C36" s="8" t="s">
        <v>98</v>
      </c>
      <c r="D36" s="8" t="s">
        <v>99</v>
      </c>
      <c r="E36" s="8" t="s">
        <v>666</v>
      </c>
      <c r="F36" s="8" t="s">
        <v>716</v>
      </c>
    </row>
    <row r="37" customFormat="false" ht="46.25" hidden="false" customHeight="false" outlineLevel="0" collapsed="false">
      <c r="A37" s="6" t="n">
        <v>30</v>
      </c>
      <c r="B37" s="5" t="s">
        <v>717</v>
      </c>
      <c r="C37" s="6" t="s">
        <v>98</v>
      </c>
      <c r="D37" s="6" t="s">
        <v>99</v>
      </c>
      <c r="E37" s="6" t="s">
        <v>666</v>
      </c>
      <c r="F37" s="6" t="s">
        <v>718</v>
      </c>
    </row>
    <row r="38" customFormat="false" ht="214.15" hidden="false" customHeight="false" outlineLevel="0" collapsed="false">
      <c r="A38" s="8" t="n">
        <v>31</v>
      </c>
      <c r="B38" s="7" t="s">
        <v>719</v>
      </c>
      <c r="C38" s="8" t="s">
        <v>98</v>
      </c>
      <c r="D38" s="8" t="s">
        <v>720</v>
      </c>
      <c r="E38" s="8" t="s">
        <v>666</v>
      </c>
      <c r="F38" s="8" t="s">
        <v>721</v>
      </c>
    </row>
    <row r="39" customFormat="false" ht="214.15" hidden="false" customHeight="false" outlineLevel="0" collapsed="false">
      <c r="A39" s="6" t="n">
        <v>32</v>
      </c>
      <c r="B39" s="5" t="s">
        <v>722</v>
      </c>
      <c r="C39" s="6" t="s">
        <v>98</v>
      </c>
      <c r="D39" s="6" t="s">
        <v>723</v>
      </c>
      <c r="E39" s="6" t="s">
        <v>666</v>
      </c>
      <c r="F39" s="6" t="s">
        <v>724</v>
      </c>
    </row>
    <row r="40" customFormat="false" ht="23.85" hidden="false" customHeight="false" outlineLevel="0" collapsed="false">
      <c r="A40" s="8" t="n">
        <v>33</v>
      </c>
      <c r="B40" s="7" t="s">
        <v>725</v>
      </c>
      <c r="C40" s="8" t="s">
        <v>98</v>
      </c>
      <c r="D40" s="8" t="s">
        <v>99</v>
      </c>
      <c r="E40" s="8" t="s">
        <v>726</v>
      </c>
      <c r="F40" s="8" t="s">
        <v>727</v>
      </c>
    </row>
    <row r="41" customFormat="false" ht="57.45" hidden="false" customHeight="false" outlineLevel="0" collapsed="false">
      <c r="A41" s="6" t="n">
        <v>34</v>
      </c>
      <c r="B41" s="5" t="s">
        <v>728</v>
      </c>
      <c r="C41" s="6" t="s">
        <v>98</v>
      </c>
      <c r="D41" s="6" t="s">
        <v>99</v>
      </c>
      <c r="E41" s="6" t="s">
        <v>726</v>
      </c>
      <c r="F41" s="6" t="s">
        <v>729</v>
      </c>
    </row>
    <row r="42" customFormat="false" ht="180.55" hidden="false" customHeight="false" outlineLevel="0" collapsed="false">
      <c r="A42" s="8" t="n">
        <v>35</v>
      </c>
      <c r="B42" s="7" t="s">
        <v>730</v>
      </c>
      <c r="C42" s="8" t="s">
        <v>731</v>
      </c>
      <c r="D42" s="8" t="s">
        <v>732</v>
      </c>
      <c r="E42" s="8" t="s">
        <v>733</v>
      </c>
      <c r="F42" s="8" t="s">
        <v>734</v>
      </c>
    </row>
    <row r="43" customFormat="false" ht="46.25" hidden="false" customHeight="false" outlineLevel="0" collapsed="false">
      <c r="A43" s="6" t="n">
        <v>36</v>
      </c>
      <c r="B43" s="5" t="s">
        <v>735</v>
      </c>
      <c r="C43" s="6" t="s">
        <v>731</v>
      </c>
      <c r="D43" s="6" t="s">
        <v>319</v>
      </c>
      <c r="E43" s="6" t="s">
        <v>733</v>
      </c>
      <c r="F43" s="6" t="s">
        <v>736</v>
      </c>
    </row>
    <row r="44" customFormat="false" ht="35.05" hidden="false" customHeight="false" outlineLevel="0" collapsed="false">
      <c r="A44" s="8" t="n">
        <v>37</v>
      </c>
      <c r="B44" s="7" t="s">
        <v>737</v>
      </c>
      <c r="C44" s="8" t="s">
        <v>738</v>
      </c>
      <c r="D44" s="8" t="s">
        <v>319</v>
      </c>
      <c r="E44" s="8" t="s">
        <v>739</v>
      </c>
      <c r="F44" s="8" t="s">
        <v>740</v>
      </c>
    </row>
    <row r="45" customFormat="false" ht="46.25" hidden="false" customHeight="false" outlineLevel="0" collapsed="false">
      <c r="A45" s="6" t="n">
        <v>38</v>
      </c>
      <c r="B45" s="5" t="s">
        <v>741</v>
      </c>
      <c r="C45" s="6" t="s">
        <v>738</v>
      </c>
      <c r="D45" s="6" t="s">
        <v>742</v>
      </c>
      <c r="E45" s="6" t="s">
        <v>739</v>
      </c>
      <c r="F45" s="6" t="s">
        <v>743</v>
      </c>
    </row>
    <row r="46" customFormat="false" ht="46.25" hidden="false" customHeight="false" outlineLevel="0" collapsed="false">
      <c r="A46" s="8" t="n">
        <v>39</v>
      </c>
      <c r="B46" s="7" t="s">
        <v>744</v>
      </c>
      <c r="C46" s="8" t="s">
        <v>738</v>
      </c>
      <c r="D46" s="8" t="s">
        <v>319</v>
      </c>
      <c r="E46" s="8" t="s">
        <v>739</v>
      </c>
      <c r="F46" s="8" t="s">
        <v>745</v>
      </c>
    </row>
    <row r="47" customFormat="false" ht="46.25" hidden="false" customHeight="false" outlineLevel="0" collapsed="false">
      <c r="A47" s="6" t="n">
        <v>40</v>
      </c>
      <c r="B47" s="5" t="s">
        <v>746</v>
      </c>
      <c r="C47" s="6" t="s">
        <v>738</v>
      </c>
      <c r="D47" s="6" t="s">
        <v>319</v>
      </c>
      <c r="E47" s="6" t="s">
        <v>739</v>
      </c>
      <c r="F47" s="6" t="s">
        <v>747</v>
      </c>
    </row>
    <row r="48" customFormat="false" ht="46.25" hidden="false" customHeight="false" outlineLevel="0" collapsed="false">
      <c r="A48" s="8" t="n">
        <v>41</v>
      </c>
      <c r="B48" s="7" t="s">
        <v>748</v>
      </c>
      <c r="C48" s="8" t="s">
        <v>738</v>
      </c>
      <c r="D48" s="8" t="s">
        <v>319</v>
      </c>
      <c r="E48" s="8" t="s">
        <v>739</v>
      </c>
      <c r="F48" s="8" t="s">
        <v>749</v>
      </c>
    </row>
    <row r="49" customFormat="false" ht="23.85" hidden="false" customHeight="false" outlineLevel="0" collapsed="false">
      <c r="A49" s="6" t="n">
        <v>42</v>
      </c>
      <c r="B49" s="5" t="s">
        <v>750</v>
      </c>
      <c r="C49" s="6" t="s">
        <v>738</v>
      </c>
      <c r="D49" s="6" t="s">
        <v>751</v>
      </c>
      <c r="E49" s="6" t="s">
        <v>739</v>
      </c>
      <c r="F49" s="6" t="s">
        <v>752</v>
      </c>
    </row>
    <row r="50" customFormat="false" ht="23.85" hidden="false" customHeight="false" outlineLevel="0" collapsed="false">
      <c r="A50" s="8" t="n">
        <v>43</v>
      </c>
      <c r="B50" s="7" t="s">
        <v>753</v>
      </c>
      <c r="C50" s="8" t="s">
        <v>738</v>
      </c>
      <c r="D50" s="8" t="s">
        <v>754</v>
      </c>
      <c r="E50" s="8" t="s">
        <v>739</v>
      </c>
      <c r="F50" s="8" t="s">
        <v>755</v>
      </c>
    </row>
    <row r="51" customFormat="false" ht="46.25" hidden="false" customHeight="false" outlineLevel="0" collapsed="false">
      <c r="A51" s="6" t="n">
        <v>44</v>
      </c>
      <c r="B51" s="5" t="s">
        <v>756</v>
      </c>
      <c r="C51" s="6" t="s">
        <v>738</v>
      </c>
      <c r="D51" s="6" t="s">
        <v>319</v>
      </c>
      <c r="E51" s="6" t="s">
        <v>757</v>
      </c>
      <c r="F51" s="6" t="s">
        <v>758</v>
      </c>
    </row>
    <row r="52" customFormat="false" ht="35.05" hidden="false" customHeight="false" outlineLevel="0" collapsed="false">
      <c r="A52" s="8" t="n">
        <v>45</v>
      </c>
      <c r="B52" s="7" t="s">
        <v>759</v>
      </c>
      <c r="C52" s="8" t="s">
        <v>760</v>
      </c>
      <c r="D52" s="8" t="s">
        <v>462</v>
      </c>
      <c r="E52" s="8" t="s">
        <v>761</v>
      </c>
      <c r="F52" s="8" t="s">
        <v>762</v>
      </c>
    </row>
    <row r="53" customFormat="false" ht="35.05" hidden="false" customHeight="false" outlineLevel="0" collapsed="false">
      <c r="A53" s="6" t="n">
        <v>46</v>
      </c>
      <c r="B53" s="5" t="s">
        <v>763</v>
      </c>
      <c r="C53" s="6" t="s">
        <v>760</v>
      </c>
      <c r="D53" s="6" t="s">
        <v>764</v>
      </c>
      <c r="E53" s="6" t="s">
        <v>761</v>
      </c>
      <c r="F53" s="6" t="s">
        <v>765</v>
      </c>
    </row>
    <row r="54" customFormat="false" ht="46.25" hidden="false" customHeight="false" outlineLevel="0" collapsed="false">
      <c r="A54" s="8" t="n">
        <v>47</v>
      </c>
      <c r="B54" s="7" t="s">
        <v>766</v>
      </c>
      <c r="C54" s="8" t="s">
        <v>760</v>
      </c>
      <c r="D54" s="8" t="s">
        <v>462</v>
      </c>
      <c r="E54" s="8" t="s">
        <v>767</v>
      </c>
      <c r="F54" s="8" t="s">
        <v>768</v>
      </c>
    </row>
    <row r="55" customFormat="false" ht="35.05" hidden="false" customHeight="false" outlineLevel="0" collapsed="false">
      <c r="A55" s="6" t="n">
        <v>48</v>
      </c>
      <c r="B55" s="5" t="s">
        <v>769</v>
      </c>
      <c r="C55" s="6" t="s">
        <v>760</v>
      </c>
      <c r="D55" s="6" t="s">
        <v>764</v>
      </c>
      <c r="E55" s="6" t="s">
        <v>767</v>
      </c>
      <c r="F55" s="6" t="s">
        <v>770</v>
      </c>
    </row>
  </sheetData>
  <mergeCells count="4"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14</v>
      </c>
    </row>
    <row r="2" customFormat="false" ht="15" hidden="false" customHeight="true" outlineLevel="0" collapsed="false">
      <c r="A2" s="2" t="s">
        <v>771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772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773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774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247.75" hidden="false" customHeight="false" outlineLevel="0" collapsed="false">
      <c r="A8" s="8" t="n">
        <v>1</v>
      </c>
      <c r="B8" s="7" t="s">
        <v>775</v>
      </c>
      <c r="C8" s="8" t="s">
        <v>643</v>
      </c>
      <c r="D8" s="8" t="s">
        <v>776</v>
      </c>
      <c r="E8" s="8" t="s">
        <v>777</v>
      </c>
      <c r="F8" s="8" t="s">
        <v>778</v>
      </c>
    </row>
    <row r="9" customFormat="false" ht="247.75" hidden="false" customHeight="false" outlineLevel="0" collapsed="false">
      <c r="A9" s="6" t="n">
        <v>2</v>
      </c>
      <c r="B9" s="5" t="s">
        <v>779</v>
      </c>
      <c r="C9" s="6" t="s">
        <v>643</v>
      </c>
      <c r="D9" s="6" t="s">
        <v>776</v>
      </c>
      <c r="E9" s="6" t="s">
        <v>777</v>
      </c>
      <c r="F9" s="6" t="s">
        <v>780</v>
      </c>
    </row>
    <row r="10" customFormat="false" ht="258.95" hidden="false" customHeight="false" outlineLevel="0" collapsed="false">
      <c r="A10" s="8" t="n">
        <v>3</v>
      </c>
      <c r="B10" s="7" t="s">
        <v>781</v>
      </c>
      <c r="C10" s="8" t="s">
        <v>643</v>
      </c>
      <c r="D10" s="8" t="s">
        <v>776</v>
      </c>
      <c r="E10" s="8" t="s">
        <v>777</v>
      </c>
      <c r="F10" s="8" t="s">
        <v>782</v>
      </c>
    </row>
    <row r="11" customFormat="false" ht="258.95" hidden="false" customHeight="false" outlineLevel="0" collapsed="false">
      <c r="A11" s="6" t="n">
        <v>4</v>
      </c>
      <c r="B11" s="5" t="s">
        <v>783</v>
      </c>
      <c r="C11" s="6" t="s">
        <v>643</v>
      </c>
      <c r="D11" s="6" t="s">
        <v>776</v>
      </c>
      <c r="E11" s="6" t="s">
        <v>777</v>
      </c>
      <c r="F11" s="6" t="s">
        <v>784</v>
      </c>
    </row>
    <row r="12" customFormat="false" ht="35.05" hidden="false" customHeight="false" outlineLevel="0" collapsed="false">
      <c r="A12" s="8" t="n">
        <v>5</v>
      </c>
      <c r="B12" s="7" t="s">
        <v>785</v>
      </c>
      <c r="C12" s="8" t="s">
        <v>643</v>
      </c>
      <c r="D12" s="8" t="s">
        <v>786</v>
      </c>
      <c r="E12" s="8" t="s">
        <v>787</v>
      </c>
      <c r="F12" s="8" t="s">
        <v>788</v>
      </c>
    </row>
    <row r="13" customFormat="false" ht="79.85" hidden="false" customHeight="false" outlineLevel="0" collapsed="false">
      <c r="A13" s="6" t="n">
        <v>6</v>
      </c>
      <c r="B13" s="5" t="s">
        <v>789</v>
      </c>
      <c r="C13" s="6" t="s">
        <v>98</v>
      </c>
      <c r="D13" s="6" t="s">
        <v>776</v>
      </c>
      <c r="E13" s="6" t="s">
        <v>790</v>
      </c>
      <c r="F13" s="6" t="s">
        <v>791</v>
      </c>
    </row>
    <row r="14" customFormat="false" ht="135.8" hidden="false" customHeight="false" outlineLevel="0" collapsed="false">
      <c r="A14" s="8" t="n">
        <v>7</v>
      </c>
      <c r="B14" s="7" t="s">
        <v>792</v>
      </c>
      <c r="C14" s="8" t="s">
        <v>98</v>
      </c>
      <c r="D14" s="8" t="s">
        <v>776</v>
      </c>
      <c r="E14" s="8" t="s">
        <v>790</v>
      </c>
      <c r="F14" s="8" t="s">
        <v>793</v>
      </c>
    </row>
    <row r="15" customFormat="false" ht="113.4" hidden="false" customHeight="false" outlineLevel="0" collapsed="false">
      <c r="A15" s="6" t="n">
        <v>8</v>
      </c>
      <c r="B15" s="5" t="s">
        <v>794</v>
      </c>
      <c r="C15" s="6" t="s">
        <v>98</v>
      </c>
      <c r="D15" s="6" t="s">
        <v>776</v>
      </c>
      <c r="E15" s="6" t="s">
        <v>790</v>
      </c>
      <c r="F15" s="6" t="s">
        <v>795</v>
      </c>
    </row>
    <row r="16" customFormat="false" ht="124.6" hidden="false" customHeight="false" outlineLevel="0" collapsed="false">
      <c r="A16" s="8" t="n">
        <v>9</v>
      </c>
      <c r="B16" s="7" t="s">
        <v>796</v>
      </c>
      <c r="C16" s="8" t="s">
        <v>98</v>
      </c>
      <c r="D16" s="8" t="s">
        <v>776</v>
      </c>
      <c r="E16" s="8" t="s">
        <v>790</v>
      </c>
      <c r="F16" s="8" t="s">
        <v>797</v>
      </c>
    </row>
    <row r="17" customFormat="false" ht="68.65" hidden="false" customHeight="false" outlineLevel="0" collapsed="false">
      <c r="A17" s="6" t="n">
        <v>10</v>
      </c>
      <c r="B17" s="5" t="s">
        <v>798</v>
      </c>
      <c r="C17" s="6" t="s">
        <v>98</v>
      </c>
      <c r="D17" s="6" t="s">
        <v>799</v>
      </c>
      <c r="E17" s="6" t="s">
        <v>790</v>
      </c>
      <c r="F17" s="6" t="s">
        <v>800</v>
      </c>
    </row>
    <row r="18" customFormat="false" ht="57.45" hidden="false" customHeight="false" outlineLevel="0" collapsed="false">
      <c r="A18" s="8" t="n">
        <v>11</v>
      </c>
      <c r="B18" s="7" t="s">
        <v>801</v>
      </c>
      <c r="C18" s="8" t="s">
        <v>98</v>
      </c>
      <c r="D18" s="8" t="s">
        <v>802</v>
      </c>
      <c r="E18" s="8" t="s">
        <v>790</v>
      </c>
      <c r="F18" s="8" t="s">
        <v>803</v>
      </c>
    </row>
    <row r="19" customFormat="false" ht="79.85" hidden="false" customHeight="false" outlineLevel="0" collapsed="false">
      <c r="A19" s="6" t="n">
        <v>12</v>
      </c>
      <c r="B19" s="5" t="s">
        <v>804</v>
      </c>
      <c r="C19" s="6" t="s">
        <v>98</v>
      </c>
      <c r="D19" s="6" t="s">
        <v>805</v>
      </c>
      <c r="E19" s="6" t="s">
        <v>790</v>
      </c>
      <c r="F19" s="6" t="s">
        <v>806</v>
      </c>
    </row>
    <row r="20" customFormat="false" ht="68.65" hidden="false" customHeight="false" outlineLevel="0" collapsed="false">
      <c r="A20" s="8" t="n">
        <v>13</v>
      </c>
      <c r="B20" s="7" t="s">
        <v>807</v>
      </c>
      <c r="C20" s="8" t="s">
        <v>98</v>
      </c>
      <c r="D20" s="8" t="s">
        <v>808</v>
      </c>
      <c r="E20" s="8" t="s">
        <v>790</v>
      </c>
      <c r="F20" s="8" t="s">
        <v>809</v>
      </c>
    </row>
    <row r="21" customFormat="false" ht="202.95" hidden="false" customHeight="false" outlineLevel="0" collapsed="false">
      <c r="A21" s="6" t="n">
        <v>14</v>
      </c>
      <c r="B21" s="5" t="s">
        <v>810</v>
      </c>
      <c r="C21" s="6" t="s">
        <v>98</v>
      </c>
      <c r="D21" s="6" t="s">
        <v>811</v>
      </c>
      <c r="E21" s="6" t="s">
        <v>790</v>
      </c>
      <c r="F21" s="6" t="s">
        <v>812</v>
      </c>
    </row>
    <row r="22" customFormat="false" ht="23.85" hidden="false" customHeight="false" outlineLevel="0" collapsed="false">
      <c r="A22" s="8" t="n">
        <v>15</v>
      </c>
      <c r="B22" s="7" t="s">
        <v>813</v>
      </c>
      <c r="C22" s="8" t="s">
        <v>98</v>
      </c>
      <c r="D22" s="8" t="s">
        <v>811</v>
      </c>
      <c r="E22" s="8" t="s">
        <v>790</v>
      </c>
      <c r="F22" s="8" t="s">
        <v>814</v>
      </c>
    </row>
    <row r="23" customFormat="false" ht="124.6" hidden="false" customHeight="false" outlineLevel="0" collapsed="false">
      <c r="A23" s="6" t="n">
        <v>16</v>
      </c>
      <c r="B23" s="5" t="s">
        <v>815</v>
      </c>
      <c r="C23" s="6" t="s">
        <v>98</v>
      </c>
      <c r="D23" s="6" t="s">
        <v>816</v>
      </c>
      <c r="E23" s="6" t="s">
        <v>817</v>
      </c>
      <c r="F23" s="6" t="s">
        <v>818</v>
      </c>
    </row>
    <row r="24" customFormat="false" ht="35.05" hidden="false" customHeight="false" outlineLevel="0" collapsed="false">
      <c r="A24" s="8" t="n">
        <v>17</v>
      </c>
      <c r="B24" s="7" t="s">
        <v>819</v>
      </c>
      <c r="C24" s="8" t="s">
        <v>760</v>
      </c>
      <c r="D24" s="8" t="s">
        <v>820</v>
      </c>
      <c r="E24" s="8" t="s">
        <v>821</v>
      </c>
      <c r="F24" s="8" t="s">
        <v>822</v>
      </c>
    </row>
  </sheetData>
  <mergeCells count="4"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16</v>
      </c>
    </row>
    <row r="2" customFormat="false" ht="15" hidden="false" customHeight="true" outlineLevel="0" collapsed="false">
      <c r="A2" s="2" t="s">
        <v>823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824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825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826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225.35" hidden="false" customHeight="false" outlineLevel="0" collapsed="false">
      <c r="A8" s="8" t="n">
        <v>1</v>
      </c>
      <c r="B8" s="7" t="s">
        <v>827</v>
      </c>
      <c r="C8" s="8" t="s">
        <v>643</v>
      </c>
      <c r="D8" s="8" t="s">
        <v>828</v>
      </c>
      <c r="E8" s="8" t="s">
        <v>829</v>
      </c>
      <c r="F8" s="8" t="s">
        <v>830</v>
      </c>
    </row>
    <row r="9" customFormat="false" ht="225.35" hidden="false" customHeight="false" outlineLevel="0" collapsed="false">
      <c r="A9" s="6" t="n">
        <v>2</v>
      </c>
      <c r="B9" s="5" t="s">
        <v>831</v>
      </c>
      <c r="C9" s="6" t="s">
        <v>643</v>
      </c>
      <c r="D9" s="6" t="s">
        <v>828</v>
      </c>
      <c r="E9" s="6" t="s">
        <v>829</v>
      </c>
      <c r="F9" s="6" t="s">
        <v>832</v>
      </c>
    </row>
    <row r="10" customFormat="false" ht="214.15" hidden="false" customHeight="false" outlineLevel="0" collapsed="false">
      <c r="A10" s="8" t="n">
        <v>3</v>
      </c>
      <c r="B10" s="7" t="s">
        <v>833</v>
      </c>
      <c r="C10" s="8" t="s">
        <v>643</v>
      </c>
      <c r="D10" s="8" t="s">
        <v>828</v>
      </c>
      <c r="E10" s="8" t="s">
        <v>829</v>
      </c>
      <c r="F10" s="8" t="s">
        <v>834</v>
      </c>
    </row>
    <row r="11" customFormat="false" ht="225.35" hidden="false" customHeight="false" outlineLevel="0" collapsed="false">
      <c r="A11" s="6" t="n">
        <v>4</v>
      </c>
      <c r="B11" s="5" t="s">
        <v>835</v>
      </c>
      <c r="C11" s="6" t="s">
        <v>643</v>
      </c>
      <c r="D11" s="6" t="s">
        <v>828</v>
      </c>
      <c r="E11" s="6" t="s">
        <v>829</v>
      </c>
      <c r="F11" s="6" t="s">
        <v>836</v>
      </c>
    </row>
    <row r="12" customFormat="false" ht="214.15" hidden="false" customHeight="false" outlineLevel="0" collapsed="false">
      <c r="A12" s="8" t="n">
        <v>5</v>
      </c>
      <c r="B12" s="7" t="s">
        <v>837</v>
      </c>
      <c r="C12" s="8" t="s">
        <v>643</v>
      </c>
      <c r="D12" s="8" t="s">
        <v>828</v>
      </c>
      <c r="E12" s="8" t="s">
        <v>829</v>
      </c>
      <c r="F12" s="8" t="s">
        <v>838</v>
      </c>
    </row>
    <row r="13" customFormat="false" ht="79.85" hidden="false" customHeight="false" outlineLevel="0" collapsed="false">
      <c r="A13" s="6" t="n">
        <v>6</v>
      </c>
      <c r="B13" s="5" t="s">
        <v>839</v>
      </c>
      <c r="C13" s="6" t="s">
        <v>643</v>
      </c>
      <c r="D13" s="6" t="s">
        <v>840</v>
      </c>
      <c r="E13" s="6" t="s">
        <v>829</v>
      </c>
      <c r="F13" s="6" t="s">
        <v>841</v>
      </c>
    </row>
    <row r="14" customFormat="false" ht="79.85" hidden="false" customHeight="false" outlineLevel="0" collapsed="false">
      <c r="A14" s="8" t="n">
        <v>7</v>
      </c>
      <c r="B14" s="7" t="s">
        <v>842</v>
      </c>
      <c r="C14" s="8" t="s">
        <v>643</v>
      </c>
      <c r="D14" s="8" t="s">
        <v>840</v>
      </c>
      <c r="E14" s="8" t="s">
        <v>829</v>
      </c>
      <c r="F14" s="8" t="s">
        <v>843</v>
      </c>
    </row>
    <row r="15" customFormat="false" ht="79.85" hidden="false" customHeight="false" outlineLevel="0" collapsed="false">
      <c r="A15" s="6" t="n">
        <v>8</v>
      </c>
      <c r="B15" s="5" t="s">
        <v>844</v>
      </c>
      <c r="C15" s="6" t="s">
        <v>643</v>
      </c>
      <c r="D15" s="6" t="s">
        <v>840</v>
      </c>
      <c r="E15" s="6" t="s">
        <v>829</v>
      </c>
      <c r="F15" s="6" t="s">
        <v>845</v>
      </c>
    </row>
    <row r="16" customFormat="false" ht="79.85" hidden="false" customHeight="false" outlineLevel="0" collapsed="false">
      <c r="A16" s="8" t="n">
        <v>9</v>
      </c>
      <c r="B16" s="7" t="s">
        <v>846</v>
      </c>
      <c r="C16" s="8" t="s">
        <v>643</v>
      </c>
      <c r="D16" s="8" t="s">
        <v>840</v>
      </c>
      <c r="E16" s="8" t="s">
        <v>829</v>
      </c>
      <c r="F16" s="8" t="s">
        <v>847</v>
      </c>
    </row>
    <row r="17" customFormat="false" ht="79.85" hidden="false" customHeight="false" outlineLevel="0" collapsed="false">
      <c r="A17" s="6" t="n">
        <v>10</v>
      </c>
      <c r="B17" s="5" t="s">
        <v>848</v>
      </c>
      <c r="C17" s="6" t="s">
        <v>643</v>
      </c>
      <c r="D17" s="6" t="s">
        <v>840</v>
      </c>
      <c r="E17" s="6" t="s">
        <v>829</v>
      </c>
      <c r="F17" s="6" t="s">
        <v>849</v>
      </c>
    </row>
    <row r="18" customFormat="false" ht="191.75" hidden="false" customHeight="false" outlineLevel="0" collapsed="false">
      <c r="A18" s="8" t="n">
        <v>11</v>
      </c>
      <c r="B18" s="7" t="s">
        <v>850</v>
      </c>
      <c r="C18" s="8" t="s">
        <v>643</v>
      </c>
      <c r="D18" s="8" t="s">
        <v>840</v>
      </c>
      <c r="E18" s="8" t="s">
        <v>829</v>
      </c>
      <c r="F18" s="8" t="s">
        <v>851</v>
      </c>
    </row>
    <row r="19" customFormat="false" ht="124.6" hidden="false" customHeight="false" outlineLevel="0" collapsed="false">
      <c r="A19" s="6" t="n">
        <v>12</v>
      </c>
      <c r="B19" s="5" t="s">
        <v>852</v>
      </c>
      <c r="C19" s="6" t="s">
        <v>643</v>
      </c>
      <c r="D19" s="6" t="s">
        <v>853</v>
      </c>
      <c r="E19" s="6" t="s">
        <v>829</v>
      </c>
      <c r="F19" s="6" t="s">
        <v>854</v>
      </c>
    </row>
    <row r="20" customFormat="false" ht="247.75" hidden="false" customHeight="false" outlineLevel="0" collapsed="false">
      <c r="A20" s="8" t="n">
        <v>13</v>
      </c>
      <c r="B20" s="7" t="s">
        <v>855</v>
      </c>
      <c r="C20" s="8" t="s">
        <v>643</v>
      </c>
      <c r="D20" s="8" t="s">
        <v>856</v>
      </c>
      <c r="E20" s="8" t="s">
        <v>829</v>
      </c>
      <c r="F20" s="8" t="s">
        <v>857</v>
      </c>
    </row>
    <row r="21" customFormat="false" ht="35.05" hidden="false" customHeight="false" outlineLevel="0" collapsed="false">
      <c r="A21" s="6" t="n">
        <v>14</v>
      </c>
      <c r="B21" s="5" t="s">
        <v>858</v>
      </c>
      <c r="C21" s="6" t="s">
        <v>643</v>
      </c>
      <c r="D21" s="6" t="s">
        <v>859</v>
      </c>
      <c r="E21" s="6" t="s">
        <v>829</v>
      </c>
      <c r="F21" s="6" t="s">
        <v>860</v>
      </c>
    </row>
    <row r="22" customFormat="false" ht="57.45" hidden="false" customHeight="false" outlineLevel="0" collapsed="false">
      <c r="A22" s="8" t="n">
        <v>15</v>
      </c>
      <c r="B22" s="7" t="s">
        <v>861</v>
      </c>
      <c r="C22" s="8" t="s">
        <v>98</v>
      </c>
      <c r="D22" s="8" t="s">
        <v>99</v>
      </c>
      <c r="E22" s="8" t="s">
        <v>862</v>
      </c>
      <c r="F22" s="8" t="s">
        <v>863</v>
      </c>
    </row>
    <row r="23" customFormat="false" ht="247.75" hidden="false" customHeight="false" outlineLevel="0" collapsed="false">
      <c r="A23" s="6" t="n">
        <v>16</v>
      </c>
      <c r="B23" s="5" t="s">
        <v>864</v>
      </c>
      <c r="C23" s="6" t="s">
        <v>98</v>
      </c>
      <c r="D23" s="6" t="s">
        <v>99</v>
      </c>
      <c r="E23" s="6" t="s">
        <v>862</v>
      </c>
      <c r="F23" s="6" t="s">
        <v>865</v>
      </c>
    </row>
    <row r="24" customFormat="false" ht="46.25" hidden="false" customHeight="false" outlineLevel="0" collapsed="false">
      <c r="A24" s="8" t="n">
        <v>17</v>
      </c>
      <c r="B24" s="7" t="s">
        <v>866</v>
      </c>
      <c r="C24" s="8" t="s">
        <v>98</v>
      </c>
      <c r="D24" s="8" t="s">
        <v>99</v>
      </c>
      <c r="E24" s="8" t="s">
        <v>862</v>
      </c>
      <c r="F24" s="8" t="s">
        <v>867</v>
      </c>
    </row>
    <row r="25" customFormat="false" ht="102.2" hidden="false" customHeight="false" outlineLevel="0" collapsed="false">
      <c r="A25" s="6" t="n">
        <v>18</v>
      </c>
      <c r="B25" s="5" t="s">
        <v>868</v>
      </c>
      <c r="C25" s="6" t="s">
        <v>98</v>
      </c>
      <c r="D25" s="6" t="s">
        <v>99</v>
      </c>
      <c r="E25" s="6" t="s">
        <v>862</v>
      </c>
      <c r="F25" s="6" t="s">
        <v>869</v>
      </c>
    </row>
    <row r="26" customFormat="false" ht="91" hidden="false" customHeight="false" outlineLevel="0" collapsed="false">
      <c r="A26" s="8" t="n">
        <v>19</v>
      </c>
      <c r="B26" s="7" t="s">
        <v>870</v>
      </c>
      <c r="C26" s="8" t="s">
        <v>98</v>
      </c>
      <c r="D26" s="8" t="s">
        <v>99</v>
      </c>
      <c r="E26" s="8" t="s">
        <v>862</v>
      </c>
      <c r="F26" s="8" t="s">
        <v>871</v>
      </c>
    </row>
    <row r="27" customFormat="false" ht="68.65" hidden="false" customHeight="false" outlineLevel="0" collapsed="false">
      <c r="A27" s="6" t="n">
        <v>20</v>
      </c>
      <c r="B27" s="5" t="s">
        <v>872</v>
      </c>
      <c r="C27" s="6" t="s">
        <v>98</v>
      </c>
      <c r="D27" s="6" t="s">
        <v>99</v>
      </c>
      <c r="E27" s="6" t="s">
        <v>862</v>
      </c>
      <c r="F27" s="6" t="s">
        <v>873</v>
      </c>
    </row>
    <row r="28" customFormat="false" ht="270.1" hidden="false" customHeight="false" outlineLevel="0" collapsed="false">
      <c r="A28" s="8" t="n">
        <v>21</v>
      </c>
      <c r="B28" s="7" t="s">
        <v>874</v>
      </c>
      <c r="C28" s="8" t="s">
        <v>98</v>
      </c>
      <c r="D28" s="8" t="s">
        <v>99</v>
      </c>
      <c r="E28" s="8" t="s">
        <v>862</v>
      </c>
      <c r="F28" s="8" t="s">
        <v>875</v>
      </c>
    </row>
    <row r="29" customFormat="false" ht="46.25" hidden="false" customHeight="false" outlineLevel="0" collapsed="false">
      <c r="A29" s="6" t="n">
        <v>22</v>
      </c>
      <c r="B29" s="5" t="s">
        <v>876</v>
      </c>
      <c r="C29" s="6" t="s">
        <v>98</v>
      </c>
      <c r="D29" s="6" t="s">
        <v>99</v>
      </c>
      <c r="E29" s="6" t="s">
        <v>862</v>
      </c>
      <c r="F29" s="6" t="s">
        <v>877</v>
      </c>
    </row>
    <row r="30" customFormat="false" ht="46.25" hidden="false" customHeight="false" outlineLevel="0" collapsed="false">
      <c r="A30" s="8" t="n">
        <v>23</v>
      </c>
      <c r="B30" s="7" t="s">
        <v>878</v>
      </c>
      <c r="C30" s="8" t="s">
        <v>98</v>
      </c>
      <c r="D30" s="8" t="s">
        <v>99</v>
      </c>
      <c r="E30" s="8" t="s">
        <v>862</v>
      </c>
      <c r="F30" s="8" t="s">
        <v>879</v>
      </c>
    </row>
    <row r="31" customFormat="false" ht="46.25" hidden="false" customHeight="false" outlineLevel="0" collapsed="false">
      <c r="A31" s="6" t="n">
        <v>24</v>
      </c>
      <c r="B31" s="5" t="s">
        <v>880</v>
      </c>
      <c r="C31" s="6" t="s">
        <v>98</v>
      </c>
      <c r="D31" s="6" t="s">
        <v>99</v>
      </c>
      <c r="E31" s="6" t="s">
        <v>862</v>
      </c>
      <c r="F31" s="6" t="s">
        <v>881</v>
      </c>
    </row>
    <row r="32" customFormat="false" ht="23.85" hidden="false" customHeight="false" outlineLevel="0" collapsed="false">
      <c r="A32" s="8" t="n">
        <v>25</v>
      </c>
      <c r="B32" s="7" t="s">
        <v>882</v>
      </c>
      <c r="C32" s="8" t="s">
        <v>98</v>
      </c>
      <c r="D32" s="8" t="s">
        <v>122</v>
      </c>
      <c r="E32" s="8" t="s">
        <v>862</v>
      </c>
      <c r="F32" s="8" t="s">
        <v>883</v>
      </c>
    </row>
    <row r="33" customFormat="false" ht="23.85" hidden="false" customHeight="false" outlineLevel="0" collapsed="false">
      <c r="A33" s="6" t="n">
        <v>26</v>
      </c>
      <c r="B33" s="5" t="s">
        <v>884</v>
      </c>
      <c r="C33" s="6" t="s">
        <v>731</v>
      </c>
      <c r="D33" s="6" t="s">
        <v>319</v>
      </c>
      <c r="E33" s="6" t="s">
        <v>885</v>
      </c>
      <c r="F33" s="6" t="s">
        <v>886</v>
      </c>
    </row>
    <row r="34" customFormat="false" ht="23.85" hidden="false" customHeight="false" outlineLevel="0" collapsed="false">
      <c r="A34" s="8" t="n">
        <v>27</v>
      </c>
      <c r="B34" s="7" t="s">
        <v>887</v>
      </c>
      <c r="C34" s="8" t="s">
        <v>731</v>
      </c>
      <c r="D34" s="8" t="s">
        <v>319</v>
      </c>
      <c r="E34" s="8" t="s">
        <v>885</v>
      </c>
      <c r="F34" s="8" t="s">
        <v>888</v>
      </c>
    </row>
    <row r="35" customFormat="false" ht="23.85" hidden="false" customHeight="false" outlineLevel="0" collapsed="false">
      <c r="A35" s="6" t="n">
        <v>28</v>
      </c>
      <c r="B35" s="5" t="s">
        <v>889</v>
      </c>
      <c r="C35" s="6" t="s">
        <v>731</v>
      </c>
      <c r="D35" s="6" t="s">
        <v>319</v>
      </c>
      <c r="E35" s="6" t="s">
        <v>885</v>
      </c>
      <c r="F35" s="6" t="s">
        <v>890</v>
      </c>
    </row>
    <row r="36" customFormat="false" ht="23.85" hidden="false" customHeight="false" outlineLevel="0" collapsed="false">
      <c r="A36" s="8" t="n">
        <v>29</v>
      </c>
      <c r="B36" s="7" t="s">
        <v>891</v>
      </c>
      <c r="C36" s="8" t="s">
        <v>731</v>
      </c>
      <c r="D36" s="8" t="s">
        <v>319</v>
      </c>
      <c r="E36" s="8" t="s">
        <v>885</v>
      </c>
      <c r="F36" s="8" t="s">
        <v>892</v>
      </c>
    </row>
    <row r="37" customFormat="false" ht="270.1" hidden="false" customHeight="false" outlineLevel="0" collapsed="false">
      <c r="A37" s="6" t="n">
        <v>30</v>
      </c>
      <c r="B37" s="5" t="s">
        <v>893</v>
      </c>
      <c r="C37" s="6" t="s">
        <v>731</v>
      </c>
      <c r="D37" s="6" t="s">
        <v>894</v>
      </c>
      <c r="E37" s="6" t="s">
        <v>885</v>
      </c>
      <c r="F37" s="6" t="s">
        <v>895</v>
      </c>
    </row>
    <row r="38" customFormat="false" ht="57.45" hidden="false" customHeight="false" outlineLevel="0" collapsed="false">
      <c r="A38" s="8" t="n">
        <v>31</v>
      </c>
      <c r="B38" s="7" t="s">
        <v>896</v>
      </c>
      <c r="C38" s="8" t="s">
        <v>731</v>
      </c>
      <c r="D38" s="8" t="s">
        <v>700</v>
      </c>
      <c r="E38" s="8" t="s">
        <v>885</v>
      </c>
      <c r="F38" s="8" t="s">
        <v>897</v>
      </c>
    </row>
    <row r="39" customFormat="false" ht="57.45" hidden="false" customHeight="false" outlineLevel="0" collapsed="false">
      <c r="A39" s="6" t="n">
        <v>32</v>
      </c>
      <c r="B39" s="5" t="s">
        <v>898</v>
      </c>
      <c r="C39" s="6" t="s">
        <v>731</v>
      </c>
      <c r="D39" s="6" t="s">
        <v>700</v>
      </c>
      <c r="E39" s="6" t="s">
        <v>885</v>
      </c>
      <c r="F39" s="6" t="s">
        <v>899</v>
      </c>
    </row>
    <row r="40" customFormat="false" ht="270.1" hidden="false" customHeight="false" outlineLevel="0" collapsed="false">
      <c r="A40" s="8" t="n">
        <v>33</v>
      </c>
      <c r="B40" s="7" t="s">
        <v>900</v>
      </c>
      <c r="C40" s="8" t="s">
        <v>731</v>
      </c>
      <c r="D40" s="8" t="s">
        <v>901</v>
      </c>
      <c r="E40" s="8" t="s">
        <v>885</v>
      </c>
      <c r="F40" s="8" t="s">
        <v>902</v>
      </c>
    </row>
    <row r="41" customFormat="false" ht="57.45" hidden="false" customHeight="false" outlineLevel="0" collapsed="false">
      <c r="A41" s="6" t="n">
        <v>34</v>
      </c>
      <c r="B41" s="5" t="s">
        <v>903</v>
      </c>
      <c r="C41" s="6" t="s">
        <v>731</v>
      </c>
      <c r="D41" s="6" t="s">
        <v>904</v>
      </c>
      <c r="E41" s="6" t="s">
        <v>885</v>
      </c>
      <c r="F41" s="6" t="s">
        <v>905</v>
      </c>
    </row>
    <row r="42" customFormat="false" ht="91" hidden="false" customHeight="false" outlineLevel="0" collapsed="false">
      <c r="A42" s="8" t="n">
        <v>35</v>
      </c>
      <c r="B42" s="7" t="s">
        <v>906</v>
      </c>
      <c r="C42" s="8" t="s">
        <v>731</v>
      </c>
      <c r="D42" s="8" t="s">
        <v>907</v>
      </c>
      <c r="E42" s="8" t="s">
        <v>885</v>
      </c>
      <c r="F42" s="8" t="s">
        <v>908</v>
      </c>
    </row>
    <row r="43" customFormat="false" ht="35.05" hidden="false" customHeight="false" outlineLevel="0" collapsed="false">
      <c r="A43" s="6" t="n">
        <v>36</v>
      </c>
      <c r="B43" s="5" t="s">
        <v>909</v>
      </c>
      <c r="C43" s="6" t="s">
        <v>731</v>
      </c>
      <c r="D43" s="6" t="s">
        <v>907</v>
      </c>
      <c r="E43" s="6" t="s">
        <v>885</v>
      </c>
      <c r="F43" s="6" t="s">
        <v>910</v>
      </c>
    </row>
    <row r="44" customFormat="false" ht="91" hidden="false" customHeight="false" outlineLevel="0" collapsed="false">
      <c r="A44" s="8" t="n">
        <v>37</v>
      </c>
      <c r="B44" s="7" t="s">
        <v>911</v>
      </c>
      <c r="C44" s="8" t="s">
        <v>731</v>
      </c>
      <c r="D44" s="8" t="s">
        <v>912</v>
      </c>
      <c r="E44" s="8" t="s">
        <v>885</v>
      </c>
      <c r="F44" s="8" t="s">
        <v>913</v>
      </c>
    </row>
    <row r="45" customFormat="false" ht="57.45" hidden="false" customHeight="false" outlineLevel="0" collapsed="false">
      <c r="A45" s="6" t="n">
        <v>38</v>
      </c>
      <c r="B45" s="5" t="s">
        <v>914</v>
      </c>
      <c r="C45" s="6" t="s">
        <v>731</v>
      </c>
      <c r="D45" s="6" t="s">
        <v>915</v>
      </c>
      <c r="E45" s="6" t="s">
        <v>885</v>
      </c>
      <c r="F45" s="6" t="s">
        <v>916</v>
      </c>
    </row>
    <row r="46" customFormat="false" ht="35.05" hidden="false" customHeight="false" outlineLevel="0" collapsed="false">
      <c r="A46" s="8" t="n">
        <v>39</v>
      </c>
      <c r="B46" s="7" t="s">
        <v>917</v>
      </c>
      <c r="C46" s="8" t="s">
        <v>731</v>
      </c>
      <c r="D46" s="8" t="s">
        <v>918</v>
      </c>
      <c r="E46" s="8" t="s">
        <v>885</v>
      </c>
      <c r="F46" s="8" t="s">
        <v>919</v>
      </c>
    </row>
    <row r="47" customFormat="false" ht="68.65" hidden="false" customHeight="false" outlineLevel="0" collapsed="false">
      <c r="A47" s="6" t="n">
        <v>40</v>
      </c>
      <c r="B47" s="5" t="s">
        <v>920</v>
      </c>
      <c r="C47" s="6" t="s">
        <v>731</v>
      </c>
      <c r="D47" s="6" t="s">
        <v>319</v>
      </c>
      <c r="E47" s="6" t="s">
        <v>885</v>
      </c>
      <c r="F47" s="6" t="s">
        <v>921</v>
      </c>
    </row>
    <row r="48" customFormat="false" ht="23.85" hidden="false" customHeight="false" outlineLevel="0" collapsed="false">
      <c r="A48" s="8" t="n">
        <v>41</v>
      </c>
      <c r="B48" s="7" t="s">
        <v>922</v>
      </c>
      <c r="C48" s="8" t="s">
        <v>731</v>
      </c>
      <c r="D48" s="8" t="s">
        <v>923</v>
      </c>
      <c r="E48" s="8" t="s">
        <v>885</v>
      </c>
      <c r="F48" s="8" t="s">
        <v>924</v>
      </c>
    </row>
    <row r="49" customFormat="false" ht="35.05" hidden="false" customHeight="false" outlineLevel="0" collapsed="false">
      <c r="A49" s="6" t="n">
        <v>42</v>
      </c>
      <c r="B49" s="5" t="s">
        <v>925</v>
      </c>
      <c r="C49" s="6" t="s">
        <v>738</v>
      </c>
      <c r="D49" s="6" t="s">
        <v>926</v>
      </c>
      <c r="E49" s="6" t="s">
        <v>927</v>
      </c>
      <c r="F49" s="6" t="s">
        <v>928</v>
      </c>
    </row>
    <row r="50" customFormat="false" ht="35.05" hidden="false" customHeight="false" outlineLevel="0" collapsed="false">
      <c r="A50" s="8" t="n">
        <v>43</v>
      </c>
      <c r="B50" s="7" t="s">
        <v>929</v>
      </c>
      <c r="C50" s="8" t="s">
        <v>738</v>
      </c>
      <c r="D50" s="8" t="s">
        <v>926</v>
      </c>
      <c r="E50" s="8" t="s">
        <v>927</v>
      </c>
      <c r="F50" s="8" t="s">
        <v>930</v>
      </c>
    </row>
    <row r="51" customFormat="false" ht="23.85" hidden="false" customHeight="false" outlineLevel="0" collapsed="false">
      <c r="A51" s="6" t="n">
        <v>44</v>
      </c>
      <c r="B51" s="5" t="s">
        <v>931</v>
      </c>
      <c r="C51" s="6" t="s">
        <v>738</v>
      </c>
      <c r="D51" s="6" t="s">
        <v>926</v>
      </c>
      <c r="E51" s="6" t="s">
        <v>927</v>
      </c>
      <c r="F51" s="6" t="s">
        <v>932</v>
      </c>
    </row>
    <row r="52" customFormat="false" ht="46.25" hidden="false" customHeight="false" outlineLevel="0" collapsed="false">
      <c r="A52" s="8" t="n">
        <v>45</v>
      </c>
      <c r="B52" s="7" t="s">
        <v>933</v>
      </c>
      <c r="C52" s="8" t="s">
        <v>738</v>
      </c>
      <c r="D52" s="8" t="s">
        <v>934</v>
      </c>
      <c r="E52" s="8" t="s">
        <v>927</v>
      </c>
      <c r="F52" s="8" t="s">
        <v>935</v>
      </c>
    </row>
    <row r="53" customFormat="false" ht="225.35" hidden="false" customHeight="false" outlineLevel="0" collapsed="false">
      <c r="A53" s="6" t="n">
        <v>46</v>
      </c>
      <c r="B53" s="5" t="s">
        <v>936</v>
      </c>
      <c r="C53" s="6" t="s">
        <v>760</v>
      </c>
      <c r="D53" s="6" t="s">
        <v>828</v>
      </c>
      <c r="E53" s="6" t="s">
        <v>937</v>
      </c>
      <c r="F53" s="6" t="s">
        <v>938</v>
      </c>
    </row>
    <row r="54" customFormat="false" ht="68.65" hidden="false" customHeight="false" outlineLevel="0" collapsed="false">
      <c r="A54" s="8" t="n">
        <v>47</v>
      </c>
      <c r="B54" s="7" t="s">
        <v>939</v>
      </c>
      <c r="C54" s="8" t="s">
        <v>760</v>
      </c>
      <c r="D54" s="8" t="s">
        <v>462</v>
      </c>
      <c r="E54" s="8" t="s">
        <v>937</v>
      </c>
      <c r="F54" s="8" t="s">
        <v>940</v>
      </c>
    </row>
    <row r="55" customFormat="false" ht="35.05" hidden="false" customHeight="false" outlineLevel="0" collapsed="false">
      <c r="A55" s="6" t="n">
        <v>48</v>
      </c>
      <c r="B55" s="5" t="s">
        <v>941</v>
      </c>
      <c r="C55" s="6" t="s">
        <v>760</v>
      </c>
      <c r="D55" s="6" t="s">
        <v>926</v>
      </c>
      <c r="E55" s="6" t="s">
        <v>937</v>
      </c>
      <c r="F55" s="6" t="s">
        <v>942</v>
      </c>
    </row>
    <row r="56" customFormat="false" ht="57.45" hidden="false" customHeight="false" outlineLevel="0" collapsed="false">
      <c r="A56" s="8" t="n">
        <v>49</v>
      </c>
      <c r="B56" s="7" t="s">
        <v>943</v>
      </c>
      <c r="C56" s="8" t="s">
        <v>760</v>
      </c>
      <c r="D56" s="8" t="s">
        <v>926</v>
      </c>
      <c r="E56" s="8" t="s">
        <v>937</v>
      </c>
      <c r="F56" s="8" t="s">
        <v>944</v>
      </c>
    </row>
    <row r="57" customFormat="false" ht="57.45" hidden="false" customHeight="false" outlineLevel="0" collapsed="false">
      <c r="A57" s="6" t="n">
        <v>50</v>
      </c>
      <c r="B57" s="5" t="s">
        <v>945</v>
      </c>
      <c r="C57" s="6" t="s">
        <v>946</v>
      </c>
      <c r="D57" s="6" t="s">
        <v>319</v>
      </c>
      <c r="E57" s="6" t="s">
        <v>947</v>
      </c>
      <c r="F57" s="6" t="s">
        <v>948</v>
      </c>
    </row>
    <row r="58" customFormat="false" ht="46.25" hidden="false" customHeight="false" outlineLevel="0" collapsed="false">
      <c r="A58" s="8" t="n">
        <v>51</v>
      </c>
      <c r="B58" s="7" t="s">
        <v>949</v>
      </c>
      <c r="C58" s="8" t="s">
        <v>946</v>
      </c>
      <c r="D58" s="8" t="s">
        <v>319</v>
      </c>
      <c r="E58" s="8" t="s">
        <v>947</v>
      </c>
      <c r="F58" s="8" t="s">
        <v>950</v>
      </c>
    </row>
    <row r="59" customFormat="false" ht="46.25" hidden="false" customHeight="false" outlineLevel="0" collapsed="false">
      <c r="A59" s="6" t="n">
        <v>52</v>
      </c>
      <c r="B59" s="5" t="s">
        <v>951</v>
      </c>
      <c r="C59" s="6" t="s">
        <v>946</v>
      </c>
      <c r="D59" s="6" t="s">
        <v>319</v>
      </c>
      <c r="E59" s="6" t="s">
        <v>947</v>
      </c>
      <c r="F59" s="6" t="s">
        <v>952</v>
      </c>
    </row>
    <row r="60" customFormat="false" ht="46.25" hidden="false" customHeight="false" outlineLevel="0" collapsed="false">
      <c r="A60" s="8" t="n">
        <v>53</v>
      </c>
      <c r="B60" s="7" t="s">
        <v>953</v>
      </c>
      <c r="C60" s="8" t="s">
        <v>954</v>
      </c>
      <c r="D60" s="8" t="s">
        <v>955</v>
      </c>
      <c r="E60" s="8" t="s">
        <v>956</v>
      </c>
      <c r="F60" s="8" t="s">
        <v>957</v>
      </c>
    </row>
    <row r="61" customFormat="false" ht="23.85" hidden="false" customHeight="false" outlineLevel="0" collapsed="false">
      <c r="A61" s="6" t="n">
        <v>54</v>
      </c>
      <c r="B61" s="5" t="s">
        <v>958</v>
      </c>
      <c r="C61" s="6" t="s">
        <v>954</v>
      </c>
      <c r="D61" s="6" t="s">
        <v>955</v>
      </c>
      <c r="E61" s="6" t="s">
        <v>956</v>
      </c>
      <c r="F61" s="6" t="s">
        <v>959</v>
      </c>
    </row>
    <row r="62" customFormat="false" ht="68.65" hidden="false" customHeight="false" outlineLevel="0" collapsed="false">
      <c r="A62" s="8" t="n">
        <v>55</v>
      </c>
      <c r="B62" s="7" t="s">
        <v>960</v>
      </c>
      <c r="C62" s="8" t="s">
        <v>954</v>
      </c>
      <c r="D62" s="8" t="s">
        <v>955</v>
      </c>
      <c r="E62" s="8" t="s">
        <v>956</v>
      </c>
      <c r="F62" s="8" t="s">
        <v>961</v>
      </c>
    </row>
    <row r="63" customFormat="false" ht="23.85" hidden="false" customHeight="false" outlineLevel="0" collapsed="false">
      <c r="A63" s="6" t="n">
        <v>56</v>
      </c>
      <c r="B63" s="5" t="s">
        <v>962</v>
      </c>
      <c r="C63" s="6" t="s">
        <v>954</v>
      </c>
      <c r="D63" s="6" t="s">
        <v>955</v>
      </c>
      <c r="E63" s="6" t="s">
        <v>956</v>
      </c>
      <c r="F63" s="6" t="s">
        <v>963</v>
      </c>
    </row>
    <row r="64" customFormat="false" ht="23.85" hidden="false" customHeight="false" outlineLevel="0" collapsed="false">
      <c r="A64" s="8" t="n">
        <v>57</v>
      </c>
      <c r="B64" s="7" t="s">
        <v>964</v>
      </c>
      <c r="C64" s="8" t="s">
        <v>954</v>
      </c>
      <c r="D64" s="8" t="s">
        <v>955</v>
      </c>
      <c r="E64" s="8" t="s">
        <v>956</v>
      </c>
      <c r="F64" s="8" t="s">
        <v>965</v>
      </c>
    </row>
  </sheetData>
  <mergeCells count="4"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21.75" hidden="false" customHeight="true" outlineLevel="0" collapsed="false">
      <c r="A1" s="1" t="s">
        <v>18</v>
      </c>
    </row>
    <row r="2" customFormat="false" ht="15" hidden="false" customHeight="true" outlineLevel="0" collapsed="false">
      <c r="A2" s="2" t="s">
        <v>966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967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2" t="s">
        <v>968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969</v>
      </c>
      <c r="B5" s="2"/>
      <c r="C5" s="2"/>
      <c r="D5" s="2"/>
      <c r="E5" s="2"/>
      <c r="F5" s="2"/>
    </row>
    <row r="6" customFormat="false" ht="15" hidden="false" customHeight="true" outlineLevel="0" collapsed="false">
      <c r="A6" s="2" t="s">
        <v>970</v>
      </c>
      <c r="B6" s="2"/>
      <c r="C6" s="2"/>
      <c r="D6" s="2"/>
      <c r="E6" s="2"/>
      <c r="F6" s="2"/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</row>
    <row r="9" customFormat="false" ht="102.2" hidden="false" customHeight="false" outlineLevel="0" collapsed="false">
      <c r="A9" s="8" t="n">
        <v>1</v>
      </c>
      <c r="B9" s="7" t="s">
        <v>971</v>
      </c>
      <c r="C9" s="8" t="s">
        <v>643</v>
      </c>
      <c r="D9" s="8" t="s">
        <v>972</v>
      </c>
      <c r="E9" s="8" t="s">
        <v>973</v>
      </c>
      <c r="F9" s="8" t="s">
        <v>974</v>
      </c>
    </row>
    <row r="10" customFormat="false" ht="102.2" hidden="false" customHeight="false" outlineLevel="0" collapsed="false">
      <c r="A10" s="6" t="n">
        <v>2</v>
      </c>
      <c r="B10" s="5" t="s">
        <v>975</v>
      </c>
      <c r="C10" s="6" t="s">
        <v>643</v>
      </c>
      <c r="D10" s="6" t="s">
        <v>976</v>
      </c>
      <c r="E10" s="6" t="s">
        <v>973</v>
      </c>
      <c r="F10" s="6" t="s">
        <v>977</v>
      </c>
    </row>
    <row r="11" customFormat="false" ht="102.2" hidden="false" customHeight="false" outlineLevel="0" collapsed="false">
      <c r="A11" s="8" t="n">
        <v>3</v>
      </c>
      <c r="B11" s="7" t="s">
        <v>978</v>
      </c>
      <c r="C11" s="8" t="s">
        <v>643</v>
      </c>
      <c r="D11" s="8" t="s">
        <v>979</v>
      </c>
      <c r="E11" s="8" t="s">
        <v>973</v>
      </c>
      <c r="F11" s="8" t="s">
        <v>980</v>
      </c>
    </row>
    <row r="12" customFormat="false" ht="113.4" hidden="false" customHeight="false" outlineLevel="0" collapsed="false">
      <c r="A12" s="6" t="n">
        <v>4</v>
      </c>
      <c r="B12" s="5" t="s">
        <v>981</v>
      </c>
      <c r="C12" s="6" t="s">
        <v>643</v>
      </c>
      <c r="D12" s="6" t="s">
        <v>982</v>
      </c>
      <c r="E12" s="6" t="s">
        <v>973</v>
      </c>
      <c r="F12" s="6" t="s">
        <v>983</v>
      </c>
    </row>
    <row r="13" customFormat="false" ht="68.65" hidden="false" customHeight="false" outlineLevel="0" collapsed="false">
      <c r="A13" s="8" t="n">
        <v>5</v>
      </c>
      <c r="B13" s="7" t="s">
        <v>984</v>
      </c>
      <c r="C13" s="8" t="s">
        <v>643</v>
      </c>
      <c r="D13" s="8" t="s">
        <v>982</v>
      </c>
      <c r="E13" s="8" t="s">
        <v>973</v>
      </c>
      <c r="F13" s="8" t="s">
        <v>985</v>
      </c>
    </row>
    <row r="14" customFormat="false" ht="236.55" hidden="false" customHeight="false" outlineLevel="0" collapsed="false">
      <c r="A14" s="6" t="n">
        <v>6</v>
      </c>
      <c r="B14" s="5" t="s">
        <v>986</v>
      </c>
      <c r="C14" s="6" t="s">
        <v>643</v>
      </c>
      <c r="D14" s="6" t="s">
        <v>987</v>
      </c>
      <c r="E14" s="6" t="s">
        <v>988</v>
      </c>
      <c r="F14" s="6" t="s">
        <v>989</v>
      </c>
    </row>
    <row r="15" customFormat="false" ht="191.75" hidden="false" customHeight="false" outlineLevel="0" collapsed="false">
      <c r="A15" s="8" t="n">
        <v>7</v>
      </c>
      <c r="B15" s="7" t="s">
        <v>990</v>
      </c>
      <c r="C15" s="8" t="s">
        <v>643</v>
      </c>
      <c r="D15" s="8" t="s">
        <v>991</v>
      </c>
      <c r="E15" s="8" t="s">
        <v>988</v>
      </c>
      <c r="F15" s="8" t="s">
        <v>992</v>
      </c>
    </row>
    <row r="16" customFormat="false" ht="102.2" hidden="false" customHeight="false" outlineLevel="0" collapsed="false">
      <c r="A16" s="6" t="n">
        <v>8</v>
      </c>
      <c r="B16" s="5" t="s">
        <v>993</v>
      </c>
      <c r="C16" s="6" t="s">
        <v>643</v>
      </c>
      <c r="D16" s="6" t="s">
        <v>994</v>
      </c>
      <c r="E16" s="6" t="s">
        <v>988</v>
      </c>
      <c r="F16" s="6" t="s">
        <v>995</v>
      </c>
    </row>
    <row r="17" customFormat="false" ht="236.55" hidden="false" customHeight="false" outlineLevel="0" collapsed="false">
      <c r="A17" s="8" t="n">
        <v>9</v>
      </c>
      <c r="B17" s="7" t="s">
        <v>996</v>
      </c>
      <c r="C17" s="8" t="s">
        <v>643</v>
      </c>
      <c r="D17" s="8" t="s">
        <v>997</v>
      </c>
      <c r="E17" s="8" t="s">
        <v>998</v>
      </c>
      <c r="F17" s="8" t="s">
        <v>999</v>
      </c>
    </row>
    <row r="18" customFormat="false" ht="191.75" hidden="false" customHeight="false" outlineLevel="0" collapsed="false">
      <c r="A18" s="6" t="n">
        <v>10</v>
      </c>
      <c r="B18" s="5" t="s">
        <v>1000</v>
      </c>
      <c r="C18" s="6" t="s">
        <v>643</v>
      </c>
      <c r="D18" s="6" t="s">
        <v>1001</v>
      </c>
      <c r="E18" s="6" t="s">
        <v>998</v>
      </c>
      <c r="F18" s="6" t="s">
        <v>1002</v>
      </c>
    </row>
    <row r="19" customFormat="false" ht="102.2" hidden="false" customHeight="false" outlineLevel="0" collapsed="false">
      <c r="A19" s="8" t="n">
        <v>11</v>
      </c>
      <c r="B19" s="7" t="s">
        <v>1003</v>
      </c>
      <c r="C19" s="8" t="s">
        <v>643</v>
      </c>
      <c r="D19" s="8" t="s">
        <v>1004</v>
      </c>
      <c r="E19" s="8" t="s">
        <v>998</v>
      </c>
      <c r="F19" s="8" t="s">
        <v>1005</v>
      </c>
    </row>
    <row r="20" customFormat="false" ht="247.75" hidden="false" customHeight="false" outlineLevel="0" collapsed="false">
      <c r="A20" s="6" t="n">
        <v>12</v>
      </c>
      <c r="B20" s="5" t="s">
        <v>1006</v>
      </c>
      <c r="C20" s="6" t="s">
        <v>643</v>
      </c>
      <c r="D20" s="6" t="s">
        <v>1007</v>
      </c>
      <c r="E20" s="6" t="s">
        <v>1008</v>
      </c>
      <c r="F20" s="6" t="s">
        <v>1009</v>
      </c>
    </row>
    <row r="21" customFormat="false" ht="225.35" hidden="false" customHeight="false" outlineLevel="0" collapsed="false">
      <c r="A21" s="8" t="n">
        <v>13</v>
      </c>
      <c r="B21" s="7" t="s">
        <v>1010</v>
      </c>
      <c r="C21" s="8" t="s">
        <v>643</v>
      </c>
      <c r="D21" s="8" t="s">
        <v>1011</v>
      </c>
      <c r="E21" s="8" t="s">
        <v>1008</v>
      </c>
      <c r="F21" s="8" t="s">
        <v>1012</v>
      </c>
    </row>
    <row r="22" customFormat="false" ht="102.2" hidden="false" customHeight="false" outlineLevel="0" collapsed="false">
      <c r="A22" s="6" t="n">
        <v>14</v>
      </c>
      <c r="B22" s="5" t="s">
        <v>1013</v>
      </c>
      <c r="C22" s="6" t="s">
        <v>643</v>
      </c>
      <c r="D22" s="6" t="s">
        <v>1014</v>
      </c>
      <c r="E22" s="6" t="s">
        <v>1008</v>
      </c>
      <c r="F22" s="6" t="s">
        <v>1015</v>
      </c>
    </row>
    <row r="23" customFormat="false" ht="79.85" hidden="false" customHeight="false" outlineLevel="0" collapsed="false">
      <c r="A23" s="8" t="n">
        <v>15</v>
      </c>
      <c r="B23" s="7" t="s">
        <v>1016</v>
      </c>
      <c r="C23" s="8" t="s">
        <v>643</v>
      </c>
      <c r="D23" s="8" t="s">
        <v>1017</v>
      </c>
      <c r="E23" s="8" t="s">
        <v>1008</v>
      </c>
      <c r="F23" s="8" t="s">
        <v>1018</v>
      </c>
    </row>
    <row r="24" customFormat="false" ht="91" hidden="false" customHeight="false" outlineLevel="0" collapsed="false">
      <c r="A24" s="6" t="n">
        <v>16</v>
      </c>
      <c r="B24" s="5" t="s">
        <v>1019</v>
      </c>
      <c r="C24" s="6" t="s">
        <v>98</v>
      </c>
      <c r="D24" s="6" t="s">
        <v>1020</v>
      </c>
      <c r="E24" s="6" t="s">
        <v>1021</v>
      </c>
      <c r="F24" s="6" t="s">
        <v>1022</v>
      </c>
    </row>
    <row r="25" customFormat="false" ht="35.05" hidden="false" customHeight="false" outlineLevel="0" collapsed="false">
      <c r="A25" s="8" t="n">
        <v>17</v>
      </c>
      <c r="B25" s="7" t="s">
        <v>1023</v>
      </c>
      <c r="C25" s="8" t="s">
        <v>98</v>
      </c>
      <c r="D25" s="8" t="s">
        <v>700</v>
      </c>
      <c r="E25" s="8" t="s">
        <v>1021</v>
      </c>
      <c r="F25" s="8" t="s">
        <v>1024</v>
      </c>
    </row>
    <row r="26" customFormat="false" ht="91" hidden="false" customHeight="false" outlineLevel="0" collapsed="false">
      <c r="A26" s="6" t="n">
        <v>18</v>
      </c>
      <c r="B26" s="5" t="s">
        <v>1025</v>
      </c>
      <c r="C26" s="6" t="s">
        <v>98</v>
      </c>
      <c r="D26" s="6" t="s">
        <v>99</v>
      </c>
      <c r="E26" s="6" t="s">
        <v>1021</v>
      </c>
      <c r="F26" s="6" t="s">
        <v>1026</v>
      </c>
    </row>
    <row r="27" customFormat="false" ht="35.05" hidden="false" customHeight="false" outlineLevel="0" collapsed="false">
      <c r="A27" s="8" t="n">
        <v>19</v>
      </c>
      <c r="B27" s="7" t="s">
        <v>1027</v>
      </c>
      <c r="C27" s="8" t="s">
        <v>98</v>
      </c>
      <c r="D27" s="8" t="s">
        <v>99</v>
      </c>
      <c r="E27" s="8" t="s">
        <v>1021</v>
      </c>
      <c r="F27" s="8" t="s">
        <v>1028</v>
      </c>
    </row>
    <row r="28" customFormat="false" ht="35.05" hidden="false" customHeight="false" outlineLevel="0" collapsed="false">
      <c r="A28" s="6" t="n">
        <v>20</v>
      </c>
      <c r="B28" s="5" t="s">
        <v>1029</v>
      </c>
      <c r="C28" s="6" t="s">
        <v>98</v>
      </c>
      <c r="D28" s="6" t="s">
        <v>462</v>
      </c>
      <c r="E28" s="6" t="s">
        <v>1021</v>
      </c>
      <c r="F28" s="6" t="s">
        <v>1030</v>
      </c>
    </row>
    <row r="29" customFormat="false" ht="79.85" hidden="false" customHeight="false" outlineLevel="0" collapsed="false">
      <c r="A29" s="8" t="n">
        <v>21</v>
      </c>
      <c r="B29" s="7" t="s">
        <v>1031</v>
      </c>
      <c r="C29" s="8" t="s">
        <v>98</v>
      </c>
      <c r="D29" s="8" t="s">
        <v>1032</v>
      </c>
      <c r="E29" s="8" t="s">
        <v>1021</v>
      </c>
      <c r="F29" s="8" t="s">
        <v>1033</v>
      </c>
    </row>
    <row r="30" customFormat="false" ht="35.05" hidden="false" customHeight="false" outlineLevel="0" collapsed="false">
      <c r="A30" s="6" t="n">
        <v>22</v>
      </c>
      <c r="B30" s="5" t="s">
        <v>1034</v>
      </c>
      <c r="C30" s="6" t="s">
        <v>98</v>
      </c>
      <c r="D30" s="6" t="s">
        <v>700</v>
      </c>
      <c r="E30" s="6" t="s">
        <v>1021</v>
      </c>
      <c r="F30" s="6" t="s">
        <v>1035</v>
      </c>
    </row>
    <row r="31" customFormat="false" ht="35.05" hidden="false" customHeight="false" outlineLevel="0" collapsed="false">
      <c r="A31" s="8" t="n">
        <v>23</v>
      </c>
      <c r="B31" s="7" t="s">
        <v>1036</v>
      </c>
      <c r="C31" s="8" t="s">
        <v>98</v>
      </c>
      <c r="D31" s="8" t="s">
        <v>99</v>
      </c>
      <c r="E31" s="8" t="s">
        <v>1021</v>
      </c>
      <c r="F31" s="8" t="s">
        <v>1037</v>
      </c>
    </row>
    <row r="32" customFormat="false" ht="35.05" hidden="false" customHeight="false" outlineLevel="0" collapsed="false">
      <c r="A32" s="6" t="n">
        <v>24</v>
      </c>
      <c r="B32" s="5" t="s">
        <v>1038</v>
      </c>
      <c r="C32" s="6" t="s">
        <v>98</v>
      </c>
      <c r="D32" s="6" t="s">
        <v>462</v>
      </c>
      <c r="E32" s="6" t="s">
        <v>1021</v>
      </c>
      <c r="F32" s="6" t="s">
        <v>1039</v>
      </c>
    </row>
    <row r="33" customFormat="false" ht="68.65" hidden="false" customHeight="false" outlineLevel="0" collapsed="false">
      <c r="A33" s="8" t="n">
        <v>25</v>
      </c>
      <c r="B33" s="7" t="s">
        <v>1040</v>
      </c>
      <c r="C33" s="8" t="s">
        <v>98</v>
      </c>
      <c r="D33" s="8" t="s">
        <v>1041</v>
      </c>
      <c r="E33" s="8" t="s">
        <v>1021</v>
      </c>
      <c r="F33" s="8" t="s">
        <v>1042</v>
      </c>
    </row>
    <row r="34" customFormat="false" ht="35.05" hidden="false" customHeight="false" outlineLevel="0" collapsed="false">
      <c r="A34" s="6" t="n">
        <v>26</v>
      </c>
      <c r="B34" s="5" t="s">
        <v>1043</v>
      </c>
      <c r="C34" s="6" t="s">
        <v>98</v>
      </c>
      <c r="D34" s="6" t="s">
        <v>700</v>
      </c>
      <c r="E34" s="6" t="s">
        <v>1021</v>
      </c>
      <c r="F34" s="6" t="s">
        <v>1044</v>
      </c>
    </row>
    <row r="35" customFormat="false" ht="35.05" hidden="false" customHeight="false" outlineLevel="0" collapsed="false">
      <c r="A35" s="8" t="n">
        <v>27</v>
      </c>
      <c r="B35" s="7" t="s">
        <v>1045</v>
      </c>
      <c r="C35" s="8" t="s">
        <v>98</v>
      </c>
      <c r="D35" s="8" t="s">
        <v>99</v>
      </c>
      <c r="E35" s="8" t="s">
        <v>1021</v>
      </c>
      <c r="F35" s="8" t="s">
        <v>1046</v>
      </c>
    </row>
    <row r="36" customFormat="false" ht="35.05" hidden="false" customHeight="false" outlineLevel="0" collapsed="false">
      <c r="A36" s="6" t="n">
        <v>28</v>
      </c>
      <c r="B36" s="5" t="s">
        <v>1047</v>
      </c>
      <c r="C36" s="6" t="s">
        <v>98</v>
      </c>
      <c r="D36" s="6" t="s">
        <v>462</v>
      </c>
      <c r="E36" s="6" t="s">
        <v>1021</v>
      </c>
      <c r="F36" s="6" t="s">
        <v>1048</v>
      </c>
    </row>
    <row r="37" customFormat="false" ht="68.65" hidden="false" customHeight="false" outlineLevel="0" collapsed="false">
      <c r="A37" s="8" t="n">
        <v>29</v>
      </c>
      <c r="B37" s="7" t="s">
        <v>1049</v>
      </c>
      <c r="C37" s="8" t="s">
        <v>98</v>
      </c>
      <c r="D37" s="8" t="s">
        <v>1050</v>
      </c>
      <c r="E37" s="8" t="s">
        <v>1021</v>
      </c>
      <c r="F37" s="8" t="s">
        <v>1051</v>
      </c>
    </row>
    <row r="38" customFormat="false" ht="35.05" hidden="false" customHeight="false" outlineLevel="0" collapsed="false">
      <c r="A38" s="6" t="n">
        <v>30</v>
      </c>
      <c r="B38" s="5" t="s">
        <v>1052</v>
      </c>
      <c r="C38" s="6" t="s">
        <v>98</v>
      </c>
      <c r="D38" s="6" t="s">
        <v>700</v>
      </c>
      <c r="E38" s="6" t="s">
        <v>1021</v>
      </c>
      <c r="F38" s="6" t="s">
        <v>1053</v>
      </c>
    </row>
    <row r="39" customFormat="false" ht="35.05" hidden="false" customHeight="false" outlineLevel="0" collapsed="false">
      <c r="A39" s="8" t="n">
        <v>31</v>
      </c>
      <c r="B39" s="7" t="s">
        <v>1054</v>
      </c>
      <c r="C39" s="8" t="s">
        <v>98</v>
      </c>
      <c r="D39" s="8" t="s">
        <v>99</v>
      </c>
      <c r="E39" s="8" t="s">
        <v>1021</v>
      </c>
      <c r="F39" s="8" t="s">
        <v>1055</v>
      </c>
    </row>
    <row r="40" customFormat="false" ht="35.05" hidden="false" customHeight="false" outlineLevel="0" collapsed="false">
      <c r="A40" s="6" t="n">
        <v>32</v>
      </c>
      <c r="B40" s="5" t="s">
        <v>1056</v>
      </c>
      <c r="C40" s="6" t="s">
        <v>98</v>
      </c>
      <c r="D40" s="6" t="s">
        <v>462</v>
      </c>
      <c r="E40" s="6" t="s">
        <v>1021</v>
      </c>
      <c r="F40" s="6" t="s">
        <v>1057</v>
      </c>
    </row>
    <row r="41" customFormat="false" ht="46.25" hidden="false" customHeight="false" outlineLevel="0" collapsed="false">
      <c r="A41" s="8" t="n">
        <v>33</v>
      </c>
      <c r="B41" s="7" t="s">
        <v>1058</v>
      </c>
      <c r="C41" s="8" t="s">
        <v>98</v>
      </c>
      <c r="D41" s="8" t="s">
        <v>99</v>
      </c>
      <c r="E41" s="8" t="s">
        <v>1021</v>
      </c>
      <c r="F41" s="8" t="s">
        <v>1059</v>
      </c>
    </row>
    <row r="42" customFormat="false" ht="46.25" hidden="false" customHeight="false" outlineLevel="0" collapsed="false">
      <c r="A42" s="6" t="n">
        <v>34</v>
      </c>
      <c r="B42" s="5" t="s">
        <v>1060</v>
      </c>
      <c r="C42" s="6" t="s">
        <v>98</v>
      </c>
      <c r="D42" s="6" t="s">
        <v>431</v>
      </c>
      <c r="E42" s="6" t="s">
        <v>1021</v>
      </c>
      <c r="F42" s="6" t="s">
        <v>1061</v>
      </c>
    </row>
    <row r="43" customFormat="false" ht="46.25" hidden="false" customHeight="false" outlineLevel="0" collapsed="false">
      <c r="A43" s="8" t="n">
        <v>35</v>
      </c>
      <c r="B43" s="7" t="s">
        <v>1062</v>
      </c>
      <c r="C43" s="8" t="s">
        <v>98</v>
      </c>
      <c r="D43" s="8" t="s">
        <v>431</v>
      </c>
      <c r="E43" s="8" t="s">
        <v>1021</v>
      </c>
      <c r="F43" s="8" t="s">
        <v>1063</v>
      </c>
    </row>
    <row r="44" customFormat="false" ht="15" hidden="false" customHeight="false" outlineLevel="0" collapsed="false">
      <c r="A44" s="6" t="n">
        <v>36</v>
      </c>
      <c r="B44" s="5" t="s">
        <v>1064</v>
      </c>
      <c r="C44" s="6" t="s">
        <v>98</v>
      </c>
      <c r="D44" s="6" t="s">
        <v>99</v>
      </c>
      <c r="E44" s="6" t="s">
        <v>1021</v>
      </c>
      <c r="F44" s="6" t="s">
        <v>1065</v>
      </c>
    </row>
    <row r="45" customFormat="false" ht="15" hidden="false" customHeight="false" outlineLevel="0" collapsed="false">
      <c r="A45" s="8" t="n">
        <v>37</v>
      </c>
      <c r="B45" s="7" t="s">
        <v>1066</v>
      </c>
      <c r="C45" s="8" t="s">
        <v>98</v>
      </c>
      <c r="D45" s="8" t="s">
        <v>99</v>
      </c>
      <c r="E45" s="8" t="s">
        <v>1021</v>
      </c>
      <c r="F45" s="8" t="s">
        <v>1067</v>
      </c>
    </row>
    <row r="46" customFormat="false" ht="23.85" hidden="false" customHeight="false" outlineLevel="0" collapsed="false">
      <c r="A46" s="6" t="n">
        <v>38</v>
      </c>
      <c r="B46" s="5" t="s">
        <v>1068</v>
      </c>
      <c r="C46" s="6" t="s">
        <v>98</v>
      </c>
      <c r="D46" s="6" t="s">
        <v>99</v>
      </c>
      <c r="E46" s="6" t="s">
        <v>1021</v>
      </c>
      <c r="F46" s="6" t="s">
        <v>1069</v>
      </c>
    </row>
    <row r="47" customFormat="false" ht="46.25" hidden="false" customHeight="false" outlineLevel="0" collapsed="false">
      <c r="A47" s="8" t="n">
        <v>39</v>
      </c>
      <c r="B47" s="7" t="s">
        <v>1070</v>
      </c>
      <c r="C47" s="8" t="s">
        <v>98</v>
      </c>
      <c r="D47" s="8" t="s">
        <v>99</v>
      </c>
      <c r="E47" s="8" t="s">
        <v>1021</v>
      </c>
      <c r="F47" s="8" t="s">
        <v>1071</v>
      </c>
    </row>
    <row r="48" customFormat="false" ht="35.05" hidden="false" customHeight="false" outlineLevel="0" collapsed="false">
      <c r="A48" s="6" t="n">
        <v>40</v>
      </c>
      <c r="B48" s="5" t="s">
        <v>1072</v>
      </c>
      <c r="C48" s="6" t="s">
        <v>98</v>
      </c>
      <c r="D48" s="6" t="s">
        <v>99</v>
      </c>
      <c r="E48" s="6" t="s">
        <v>1021</v>
      </c>
      <c r="F48" s="6" t="s">
        <v>1073</v>
      </c>
    </row>
    <row r="49" customFormat="false" ht="46.25" hidden="false" customHeight="false" outlineLevel="0" collapsed="false">
      <c r="A49" s="8" t="n">
        <v>41</v>
      </c>
      <c r="B49" s="7" t="s">
        <v>1074</v>
      </c>
      <c r="C49" s="8" t="s">
        <v>98</v>
      </c>
      <c r="D49" s="8" t="s">
        <v>99</v>
      </c>
      <c r="E49" s="8" t="s">
        <v>1021</v>
      </c>
      <c r="F49" s="8" t="s">
        <v>1075</v>
      </c>
    </row>
    <row r="50" customFormat="false" ht="91" hidden="false" customHeight="false" outlineLevel="0" collapsed="false">
      <c r="A50" s="6" t="n">
        <v>42</v>
      </c>
      <c r="B50" s="5" t="s">
        <v>1076</v>
      </c>
      <c r="C50" s="6" t="s">
        <v>98</v>
      </c>
      <c r="D50" s="6" t="s">
        <v>99</v>
      </c>
      <c r="E50" s="6" t="s">
        <v>1021</v>
      </c>
      <c r="F50" s="6" t="s">
        <v>1077</v>
      </c>
    </row>
    <row r="51" customFormat="false" ht="79.85" hidden="false" customHeight="false" outlineLevel="0" collapsed="false">
      <c r="A51" s="8" t="n">
        <v>43</v>
      </c>
      <c r="B51" s="7" t="s">
        <v>1078</v>
      </c>
      <c r="C51" s="8" t="s">
        <v>98</v>
      </c>
      <c r="D51" s="8" t="s">
        <v>99</v>
      </c>
      <c r="E51" s="8" t="s">
        <v>1021</v>
      </c>
      <c r="F51" s="8" t="s">
        <v>1079</v>
      </c>
    </row>
    <row r="52" customFormat="false" ht="46.25" hidden="false" customHeight="false" outlineLevel="0" collapsed="false">
      <c r="A52" s="6" t="n">
        <v>44</v>
      </c>
      <c r="B52" s="5" t="s">
        <v>1080</v>
      </c>
      <c r="C52" s="6" t="s">
        <v>98</v>
      </c>
      <c r="D52" s="6" t="s">
        <v>99</v>
      </c>
      <c r="E52" s="6" t="s">
        <v>1021</v>
      </c>
      <c r="F52" s="6" t="s">
        <v>1081</v>
      </c>
    </row>
    <row r="53" customFormat="false" ht="57.45" hidden="false" customHeight="false" outlineLevel="0" collapsed="false">
      <c r="A53" s="8" t="n">
        <v>45</v>
      </c>
      <c r="B53" s="7" t="s">
        <v>1082</v>
      </c>
      <c r="C53" s="8" t="s">
        <v>98</v>
      </c>
      <c r="D53" s="8" t="s">
        <v>99</v>
      </c>
      <c r="E53" s="8" t="s">
        <v>1021</v>
      </c>
      <c r="F53" s="8" t="s">
        <v>1083</v>
      </c>
    </row>
    <row r="54" customFormat="false" ht="79.85" hidden="false" customHeight="false" outlineLevel="0" collapsed="false">
      <c r="A54" s="6" t="n">
        <v>46</v>
      </c>
      <c r="B54" s="5" t="s">
        <v>1084</v>
      </c>
      <c r="C54" s="6" t="s">
        <v>98</v>
      </c>
      <c r="D54" s="6" t="s">
        <v>99</v>
      </c>
      <c r="E54" s="6" t="s">
        <v>1021</v>
      </c>
      <c r="F54" s="6" t="s">
        <v>1085</v>
      </c>
    </row>
    <row r="55" customFormat="false" ht="46.25" hidden="false" customHeight="false" outlineLevel="0" collapsed="false">
      <c r="A55" s="8" t="n">
        <v>47</v>
      </c>
      <c r="B55" s="7" t="s">
        <v>1086</v>
      </c>
      <c r="C55" s="8" t="s">
        <v>98</v>
      </c>
      <c r="D55" s="8" t="s">
        <v>99</v>
      </c>
      <c r="E55" s="8" t="s">
        <v>1021</v>
      </c>
      <c r="F55" s="8" t="s">
        <v>1087</v>
      </c>
    </row>
    <row r="56" customFormat="false" ht="23.85" hidden="false" customHeight="false" outlineLevel="0" collapsed="false">
      <c r="A56" s="6" t="n">
        <v>48</v>
      </c>
      <c r="B56" s="5" t="s">
        <v>1088</v>
      </c>
      <c r="C56" s="6" t="s">
        <v>98</v>
      </c>
      <c r="D56" s="6" t="s">
        <v>99</v>
      </c>
      <c r="E56" s="6" t="s">
        <v>1021</v>
      </c>
      <c r="F56" s="6" t="s">
        <v>1069</v>
      </c>
    </row>
    <row r="57" customFormat="false" ht="35.05" hidden="false" customHeight="false" outlineLevel="0" collapsed="false">
      <c r="A57" s="8" t="n">
        <v>49</v>
      </c>
      <c r="B57" s="7" t="s">
        <v>1089</v>
      </c>
      <c r="C57" s="8" t="s">
        <v>98</v>
      </c>
      <c r="D57" s="8" t="s">
        <v>99</v>
      </c>
      <c r="E57" s="8" t="s">
        <v>1021</v>
      </c>
      <c r="F57" s="8" t="s">
        <v>1090</v>
      </c>
    </row>
    <row r="58" customFormat="false" ht="46.25" hidden="false" customHeight="false" outlineLevel="0" collapsed="false">
      <c r="A58" s="6" t="n">
        <v>50</v>
      </c>
      <c r="B58" s="5" t="s">
        <v>1091</v>
      </c>
      <c r="C58" s="6" t="s">
        <v>731</v>
      </c>
      <c r="D58" s="6" t="s">
        <v>1092</v>
      </c>
      <c r="E58" s="6" t="s">
        <v>1093</v>
      </c>
      <c r="F58" s="6" t="s">
        <v>1094</v>
      </c>
    </row>
    <row r="59" customFormat="false" ht="270.1" hidden="false" customHeight="false" outlineLevel="0" collapsed="false">
      <c r="A59" s="8" t="n">
        <v>51</v>
      </c>
      <c r="B59" s="7" t="s">
        <v>1095</v>
      </c>
      <c r="C59" s="8" t="s">
        <v>731</v>
      </c>
      <c r="D59" s="8" t="s">
        <v>1096</v>
      </c>
      <c r="E59" s="8" t="s">
        <v>1093</v>
      </c>
      <c r="F59" s="8" t="s">
        <v>1097</v>
      </c>
    </row>
    <row r="60" customFormat="false" ht="35.05" hidden="false" customHeight="false" outlineLevel="0" collapsed="false">
      <c r="A60" s="6" t="n">
        <v>52</v>
      </c>
      <c r="B60" s="5" t="s">
        <v>1098</v>
      </c>
      <c r="C60" s="6" t="s">
        <v>731</v>
      </c>
      <c r="D60" s="6" t="s">
        <v>700</v>
      </c>
      <c r="E60" s="6" t="s">
        <v>1093</v>
      </c>
      <c r="F60" s="6" t="s">
        <v>1099</v>
      </c>
    </row>
    <row r="61" customFormat="false" ht="46.25" hidden="false" customHeight="false" outlineLevel="0" collapsed="false">
      <c r="A61" s="8" t="n">
        <v>53</v>
      </c>
      <c r="B61" s="7" t="s">
        <v>1100</v>
      </c>
      <c r="C61" s="8" t="s">
        <v>731</v>
      </c>
      <c r="D61" s="8" t="s">
        <v>1092</v>
      </c>
      <c r="E61" s="8" t="s">
        <v>1093</v>
      </c>
      <c r="F61" s="8" t="s">
        <v>1101</v>
      </c>
    </row>
    <row r="62" customFormat="false" ht="46.25" hidden="false" customHeight="false" outlineLevel="0" collapsed="false">
      <c r="A62" s="6" t="n">
        <v>54</v>
      </c>
      <c r="B62" s="5" t="s">
        <v>1102</v>
      </c>
      <c r="C62" s="6" t="s">
        <v>731</v>
      </c>
      <c r="D62" s="6" t="s">
        <v>1092</v>
      </c>
      <c r="E62" s="6" t="s">
        <v>1093</v>
      </c>
      <c r="F62" s="6" t="s">
        <v>1103</v>
      </c>
    </row>
    <row r="63" customFormat="false" ht="46.25" hidden="false" customHeight="false" outlineLevel="0" collapsed="false">
      <c r="A63" s="8" t="n">
        <v>55</v>
      </c>
      <c r="B63" s="7" t="s">
        <v>1104</v>
      </c>
      <c r="C63" s="8" t="s">
        <v>731</v>
      </c>
      <c r="D63" s="8" t="s">
        <v>1092</v>
      </c>
      <c r="E63" s="8" t="s">
        <v>1093</v>
      </c>
      <c r="F63" s="8" t="s">
        <v>1105</v>
      </c>
    </row>
    <row r="64" customFormat="false" ht="68.65" hidden="false" customHeight="false" outlineLevel="0" collapsed="false">
      <c r="A64" s="6" t="n">
        <v>56</v>
      </c>
      <c r="B64" s="5" t="s">
        <v>1106</v>
      </c>
      <c r="C64" s="6" t="s">
        <v>731</v>
      </c>
      <c r="D64" s="6" t="s">
        <v>700</v>
      </c>
      <c r="E64" s="6" t="s">
        <v>1093</v>
      </c>
      <c r="F64" s="6" t="s">
        <v>1107</v>
      </c>
    </row>
    <row r="65" customFormat="false" ht="124.6" hidden="false" customHeight="false" outlineLevel="0" collapsed="false">
      <c r="A65" s="8" t="n">
        <v>57</v>
      </c>
      <c r="B65" s="7" t="s">
        <v>1108</v>
      </c>
      <c r="C65" s="8" t="s">
        <v>731</v>
      </c>
      <c r="D65" s="8" t="s">
        <v>319</v>
      </c>
      <c r="E65" s="8" t="s">
        <v>1093</v>
      </c>
      <c r="F65" s="8" t="s">
        <v>1109</v>
      </c>
    </row>
    <row r="66" customFormat="false" ht="23.85" hidden="false" customHeight="false" outlineLevel="0" collapsed="false">
      <c r="A66" s="6" t="n">
        <v>58</v>
      </c>
      <c r="B66" s="5" t="s">
        <v>1110</v>
      </c>
      <c r="C66" s="6" t="s">
        <v>731</v>
      </c>
      <c r="D66" s="6" t="s">
        <v>1111</v>
      </c>
      <c r="E66" s="6" t="s">
        <v>1093</v>
      </c>
      <c r="F66" s="6" t="s">
        <v>1112</v>
      </c>
    </row>
    <row r="67" customFormat="false" ht="68.65" hidden="false" customHeight="false" outlineLevel="0" collapsed="false">
      <c r="A67" s="8" t="n">
        <v>59</v>
      </c>
      <c r="B67" s="7" t="s">
        <v>1113</v>
      </c>
      <c r="C67" s="8" t="s">
        <v>731</v>
      </c>
      <c r="D67" s="8" t="s">
        <v>1114</v>
      </c>
      <c r="E67" s="8" t="s">
        <v>1093</v>
      </c>
      <c r="F67" s="8" t="s">
        <v>1115</v>
      </c>
    </row>
    <row r="68" customFormat="false" ht="247.75" hidden="false" customHeight="false" outlineLevel="0" collapsed="false">
      <c r="A68" s="6" t="n">
        <v>60</v>
      </c>
      <c r="B68" s="5" t="s">
        <v>1116</v>
      </c>
      <c r="C68" s="6" t="s">
        <v>731</v>
      </c>
      <c r="D68" s="6" t="s">
        <v>1117</v>
      </c>
      <c r="E68" s="6" t="s">
        <v>1093</v>
      </c>
      <c r="F68" s="6" t="s">
        <v>1118</v>
      </c>
    </row>
    <row r="69" customFormat="false" ht="23.85" hidden="false" customHeight="false" outlineLevel="0" collapsed="false">
      <c r="A69" s="8" t="n">
        <v>61</v>
      </c>
      <c r="B69" s="7" t="s">
        <v>1119</v>
      </c>
      <c r="C69" s="8" t="s">
        <v>731</v>
      </c>
      <c r="D69" s="8" t="s">
        <v>1120</v>
      </c>
      <c r="E69" s="8" t="s">
        <v>1093</v>
      </c>
      <c r="F69" s="8" t="s">
        <v>1121</v>
      </c>
    </row>
    <row r="70" customFormat="false" ht="113.4" hidden="false" customHeight="false" outlineLevel="0" collapsed="false">
      <c r="A70" s="6" t="n">
        <v>62</v>
      </c>
      <c r="B70" s="5" t="s">
        <v>1122</v>
      </c>
      <c r="C70" s="6" t="s">
        <v>731</v>
      </c>
      <c r="D70" s="6" t="s">
        <v>700</v>
      </c>
      <c r="E70" s="6" t="s">
        <v>1093</v>
      </c>
      <c r="F70" s="6" t="s">
        <v>1123</v>
      </c>
    </row>
    <row r="71" customFormat="false" ht="124.6" hidden="false" customHeight="false" outlineLevel="0" collapsed="false">
      <c r="A71" s="8" t="n">
        <v>63</v>
      </c>
      <c r="B71" s="7" t="s">
        <v>1124</v>
      </c>
      <c r="C71" s="8" t="s">
        <v>731</v>
      </c>
      <c r="D71" s="8" t="s">
        <v>700</v>
      </c>
      <c r="E71" s="8" t="s">
        <v>1093</v>
      </c>
      <c r="F71" s="8" t="s">
        <v>1125</v>
      </c>
    </row>
    <row r="72" customFormat="false" ht="102.2" hidden="false" customHeight="false" outlineLevel="0" collapsed="false">
      <c r="A72" s="6" t="n">
        <v>64</v>
      </c>
      <c r="B72" s="5" t="s">
        <v>1126</v>
      </c>
      <c r="C72" s="6" t="s">
        <v>731</v>
      </c>
      <c r="D72" s="6" t="s">
        <v>700</v>
      </c>
      <c r="E72" s="6" t="s">
        <v>1093</v>
      </c>
      <c r="F72" s="6" t="s">
        <v>1127</v>
      </c>
    </row>
    <row r="73" customFormat="false" ht="57.45" hidden="false" customHeight="false" outlineLevel="0" collapsed="false">
      <c r="A73" s="8" t="n">
        <v>65</v>
      </c>
      <c r="B73" s="7" t="s">
        <v>1128</v>
      </c>
      <c r="C73" s="8" t="s">
        <v>731</v>
      </c>
      <c r="D73" s="8" t="s">
        <v>700</v>
      </c>
      <c r="E73" s="8" t="s">
        <v>1093</v>
      </c>
      <c r="F73" s="8" t="s">
        <v>1129</v>
      </c>
    </row>
    <row r="74" customFormat="false" ht="102.2" hidden="false" customHeight="false" outlineLevel="0" collapsed="false">
      <c r="A74" s="6" t="n">
        <v>66</v>
      </c>
      <c r="B74" s="5" t="s">
        <v>1130</v>
      </c>
      <c r="C74" s="6" t="s">
        <v>731</v>
      </c>
      <c r="D74" s="6" t="s">
        <v>700</v>
      </c>
      <c r="E74" s="6" t="s">
        <v>1093</v>
      </c>
      <c r="F74" s="6" t="s">
        <v>1131</v>
      </c>
    </row>
    <row r="75" customFormat="false" ht="79.85" hidden="false" customHeight="false" outlineLevel="0" collapsed="false">
      <c r="A75" s="8" t="n">
        <v>67</v>
      </c>
      <c r="B75" s="7" t="s">
        <v>1132</v>
      </c>
      <c r="C75" s="8" t="s">
        <v>731</v>
      </c>
      <c r="D75" s="8" t="s">
        <v>700</v>
      </c>
      <c r="E75" s="8" t="s">
        <v>1093</v>
      </c>
      <c r="F75" s="8" t="s">
        <v>1133</v>
      </c>
    </row>
    <row r="76" customFormat="false" ht="46.25" hidden="false" customHeight="false" outlineLevel="0" collapsed="false">
      <c r="A76" s="6" t="n">
        <v>68</v>
      </c>
      <c r="B76" s="5" t="s">
        <v>1134</v>
      </c>
      <c r="C76" s="6" t="s">
        <v>738</v>
      </c>
      <c r="D76" s="6" t="s">
        <v>319</v>
      </c>
      <c r="E76" s="6" t="s">
        <v>1135</v>
      </c>
      <c r="F76" s="6" t="s">
        <v>1136</v>
      </c>
    </row>
    <row r="77" customFormat="false" ht="35.05" hidden="false" customHeight="false" outlineLevel="0" collapsed="false">
      <c r="A77" s="8" t="n">
        <v>69</v>
      </c>
      <c r="B77" s="7" t="s">
        <v>1137</v>
      </c>
      <c r="C77" s="8" t="s">
        <v>738</v>
      </c>
      <c r="D77" s="8" t="s">
        <v>1138</v>
      </c>
      <c r="E77" s="8" t="s">
        <v>1135</v>
      </c>
      <c r="F77" s="8" t="s">
        <v>1139</v>
      </c>
    </row>
    <row r="78" customFormat="false" ht="57.45" hidden="false" customHeight="false" outlineLevel="0" collapsed="false">
      <c r="A78" s="6" t="n">
        <v>70</v>
      </c>
      <c r="B78" s="5" t="s">
        <v>1140</v>
      </c>
      <c r="C78" s="6" t="s">
        <v>738</v>
      </c>
      <c r="D78" s="6" t="s">
        <v>1138</v>
      </c>
      <c r="E78" s="6" t="s">
        <v>1135</v>
      </c>
      <c r="F78" s="6" t="s">
        <v>1141</v>
      </c>
    </row>
    <row r="79" customFormat="false" ht="35.05" hidden="false" customHeight="false" outlineLevel="0" collapsed="false">
      <c r="A79" s="8" t="n">
        <v>71</v>
      </c>
      <c r="B79" s="7" t="s">
        <v>1142</v>
      </c>
      <c r="C79" s="8" t="s">
        <v>738</v>
      </c>
      <c r="D79" s="8" t="s">
        <v>1138</v>
      </c>
      <c r="E79" s="8" t="s">
        <v>1135</v>
      </c>
      <c r="F79" s="8" t="s">
        <v>1143</v>
      </c>
    </row>
    <row r="80" customFormat="false" ht="91" hidden="false" customHeight="false" outlineLevel="0" collapsed="false">
      <c r="A80" s="6" t="n">
        <v>72</v>
      </c>
      <c r="B80" s="5" t="s">
        <v>1144</v>
      </c>
      <c r="C80" s="6" t="s">
        <v>738</v>
      </c>
      <c r="D80" s="6" t="s">
        <v>319</v>
      </c>
      <c r="E80" s="6" t="s">
        <v>1135</v>
      </c>
      <c r="F80" s="6" t="s">
        <v>1145</v>
      </c>
    </row>
    <row r="81" customFormat="false" ht="35.05" hidden="false" customHeight="false" outlineLevel="0" collapsed="false">
      <c r="A81" s="8" t="n">
        <v>73</v>
      </c>
      <c r="B81" s="7" t="s">
        <v>1146</v>
      </c>
      <c r="C81" s="8" t="s">
        <v>738</v>
      </c>
      <c r="D81" s="8" t="s">
        <v>462</v>
      </c>
      <c r="E81" s="8" t="s">
        <v>1135</v>
      </c>
      <c r="F81" s="8" t="s">
        <v>1147</v>
      </c>
    </row>
    <row r="82" customFormat="false" ht="46.25" hidden="false" customHeight="false" outlineLevel="0" collapsed="false">
      <c r="A82" s="6" t="n">
        <v>74</v>
      </c>
      <c r="B82" s="5" t="s">
        <v>1148</v>
      </c>
      <c r="C82" s="6" t="s">
        <v>738</v>
      </c>
      <c r="D82" s="6" t="s">
        <v>319</v>
      </c>
      <c r="E82" s="6" t="s">
        <v>1135</v>
      </c>
      <c r="F82" s="6" t="s">
        <v>1149</v>
      </c>
    </row>
    <row r="83" customFormat="false" ht="23.85" hidden="false" customHeight="false" outlineLevel="0" collapsed="false">
      <c r="A83" s="8" t="n">
        <v>75</v>
      </c>
      <c r="B83" s="7" t="s">
        <v>1150</v>
      </c>
      <c r="C83" s="8" t="s">
        <v>738</v>
      </c>
      <c r="D83" s="8" t="s">
        <v>319</v>
      </c>
      <c r="E83" s="8" t="s">
        <v>1135</v>
      </c>
      <c r="F83" s="8" t="s">
        <v>1151</v>
      </c>
    </row>
    <row r="84" customFormat="false" ht="225.35" hidden="false" customHeight="false" outlineLevel="0" collapsed="false">
      <c r="A84" s="6" t="n">
        <v>76</v>
      </c>
      <c r="B84" s="5" t="s">
        <v>1152</v>
      </c>
      <c r="C84" s="6" t="s">
        <v>954</v>
      </c>
      <c r="D84" s="6" t="s">
        <v>955</v>
      </c>
      <c r="E84" s="6" t="s">
        <v>1153</v>
      </c>
      <c r="F84" s="6" t="s">
        <v>1154</v>
      </c>
    </row>
    <row r="85" customFormat="false" ht="79.85" hidden="false" customHeight="false" outlineLevel="0" collapsed="false">
      <c r="A85" s="8" t="n">
        <v>77</v>
      </c>
      <c r="B85" s="7" t="s">
        <v>1155</v>
      </c>
      <c r="C85" s="8" t="s">
        <v>954</v>
      </c>
      <c r="D85" s="8" t="s">
        <v>1156</v>
      </c>
      <c r="E85" s="8" t="s">
        <v>1153</v>
      </c>
      <c r="F85" s="8" t="s">
        <v>1157</v>
      </c>
    </row>
    <row r="86" customFormat="false" ht="46.25" hidden="false" customHeight="false" outlineLevel="0" collapsed="false">
      <c r="A86" s="6" t="n">
        <v>78</v>
      </c>
      <c r="B86" s="5" t="s">
        <v>1158</v>
      </c>
      <c r="C86" s="6" t="s">
        <v>954</v>
      </c>
      <c r="D86" s="6" t="s">
        <v>1156</v>
      </c>
      <c r="E86" s="6" t="s">
        <v>1153</v>
      </c>
      <c r="F86" s="6" t="s">
        <v>1159</v>
      </c>
    </row>
    <row r="87" customFormat="false" ht="79.85" hidden="false" customHeight="false" outlineLevel="0" collapsed="false">
      <c r="A87" s="8" t="n">
        <v>79</v>
      </c>
      <c r="B87" s="7" t="s">
        <v>1160</v>
      </c>
      <c r="C87" s="8" t="s">
        <v>954</v>
      </c>
      <c r="D87" s="8" t="s">
        <v>1161</v>
      </c>
      <c r="E87" s="8" t="s">
        <v>1153</v>
      </c>
      <c r="F87" s="8" t="s">
        <v>1162</v>
      </c>
    </row>
    <row r="88" customFormat="false" ht="46.25" hidden="false" customHeight="false" outlineLevel="0" collapsed="false">
      <c r="A88" s="6" t="n">
        <v>80</v>
      </c>
      <c r="B88" s="5" t="s">
        <v>1163</v>
      </c>
      <c r="C88" s="6" t="s">
        <v>954</v>
      </c>
      <c r="D88" s="6" t="s">
        <v>1161</v>
      </c>
      <c r="E88" s="6" t="s">
        <v>1153</v>
      </c>
      <c r="F88" s="6" t="s">
        <v>1164</v>
      </c>
    </row>
    <row r="89" customFormat="false" ht="57.45" hidden="false" customHeight="false" outlineLevel="0" collapsed="false">
      <c r="A89" s="8" t="n">
        <v>81</v>
      </c>
      <c r="B89" s="7" t="s">
        <v>1165</v>
      </c>
      <c r="C89" s="8" t="s">
        <v>954</v>
      </c>
      <c r="D89" s="8" t="s">
        <v>1156</v>
      </c>
      <c r="E89" s="8" t="s">
        <v>1153</v>
      </c>
      <c r="F89" s="8" t="s">
        <v>1166</v>
      </c>
    </row>
    <row r="90" customFormat="false" ht="35.05" hidden="false" customHeight="false" outlineLevel="0" collapsed="false">
      <c r="A90" s="6" t="n">
        <v>82</v>
      </c>
      <c r="B90" s="5" t="s">
        <v>1167</v>
      </c>
      <c r="C90" s="6" t="s">
        <v>954</v>
      </c>
      <c r="D90" s="6" t="s">
        <v>1156</v>
      </c>
      <c r="E90" s="6" t="s">
        <v>1153</v>
      </c>
      <c r="F90" s="6" t="s">
        <v>1168</v>
      </c>
    </row>
    <row r="91" customFormat="false" ht="57.45" hidden="false" customHeight="false" outlineLevel="0" collapsed="false">
      <c r="A91" s="8" t="n">
        <v>83</v>
      </c>
      <c r="B91" s="7" t="s">
        <v>1169</v>
      </c>
      <c r="C91" s="8" t="s">
        <v>954</v>
      </c>
      <c r="D91" s="8" t="s">
        <v>1161</v>
      </c>
      <c r="E91" s="8" t="s">
        <v>1153</v>
      </c>
      <c r="F91" s="8" t="s">
        <v>1170</v>
      </c>
    </row>
    <row r="92" customFormat="false" ht="35.05" hidden="false" customHeight="false" outlineLevel="0" collapsed="false">
      <c r="A92" s="6" t="n">
        <v>84</v>
      </c>
      <c r="B92" s="5" t="s">
        <v>1171</v>
      </c>
      <c r="C92" s="6" t="s">
        <v>954</v>
      </c>
      <c r="D92" s="6" t="s">
        <v>1161</v>
      </c>
      <c r="E92" s="6" t="s">
        <v>1153</v>
      </c>
      <c r="F92" s="6" t="s">
        <v>1172</v>
      </c>
    </row>
    <row r="93" customFormat="false" ht="57.45" hidden="false" customHeight="false" outlineLevel="0" collapsed="false">
      <c r="A93" s="8" t="n">
        <v>85</v>
      </c>
      <c r="B93" s="7" t="s">
        <v>1173</v>
      </c>
      <c r="C93" s="8" t="s">
        <v>954</v>
      </c>
      <c r="D93" s="8" t="s">
        <v>1156</v>
      </c>
      <c r="E93" s="8" t="s">
        <v>1153</v>
      </c>
      <c r="F93" s="8" t="s">
        <v>1174</v>
      </c>
    </row>
    <row r="94" customFormat="false" ht="35.05" hidden="false" customHeight="false" outlineLevel="0" collapsed="false">
      <c r="A94" s="6" t="n">
        <v>86</v>
      </c>
      <c r="B94" s="5" t="s">
        <v>1175</v>
      </c>
      <c r="C94" s="6" t="s">
        <v>954</v>
      </c>
      <c r="D94" s="6" t="s">
        <v>1156</v>
      </c>
      <c r="E94" s="6" t="s">
        <v>1153</v>
      </c>
      <c r="F94" s="6" t="s">
        <v>1176</v>
      </c>
    </row>
    <row r="95" customFormat="false" ht="57.45" hidden="false" customHeight="false" outlineLevel="0" collapsed="false">
      <c r="A95" s="8" t="n">
        <v>87</v>
      </c>
      <c r="B95" s="7" t="s">
        <v>1177</v>
      </c>
      <c r="C95" s="8" t="s">
        <v>954</v>
      </c>
      <c r="D95" s="8" t="s">
        <v>1161</v>
      </c>
      <c r="E95" s="8" t="s">
        <v>1153</v>
      </c>
      <c r="F95" s="8" t="s">
        <v>1178</v>
      </c>
    </row>
    <row r="96" customFormat="false" ht="35.05" hidden="false" customHeight="false" outlineLevel="0" collapsed="false">
      <c r="A96" s="6" t="n">
        <v>88</v>
      </c>
      <c r="B96" s="5" t="s">
        <v>1179</v>
      </c>
      <c r="C96" s="6" t="s">
        <v>954</v>
      </c>
      <c r="D96" s="6" t="s">
        <v>1161</v>
      </c>
      <c r="E96" s="6" t="s">
        <v>1153</v>
      </c>
      <c r="F96" s="6" t="s">
        <v>1180</v>
      </c>
    </row>
    <row r="97" customFormat="false" ht="57.45" hidden="false" customHeight="false" outlineLevel="0" collapsed="false">
      <c r="A97" s="8" t="n">
        <v>89</v>
      </c>
      <c r="B97" s="7" t="s">
        <v>1181</v>
      </c>
      <c r="C97" s="8" t="s">
        <v>954</v>
      </c>
      <c r="D97" s="8" t="s">
        <v>1156</v>
      </c>
      <c r="E97" s="8" t="s">
        <v>1153</v>
      </c>
      <c r="F97" s="8" t="s">
        <v>1182</v>
      </c>
    </row>
    <row r="98" customFormat="false" ht="35.05" hidden="false" customHeight="false" outlineLevel="0" collapsed="false">
      <c r="A98" s="6" t="n">
        <v>90</v>
      </c>
      <c r="B98" s="5" t="s">
        <v>1183</v>
      </c>
      <c r="C98" s="6" t="s">
        <v>954</v>
      </c>
      <c r="D98" s="6" t="s">
        <v>1156</v>
      </c>
      <c r="E98" s="6" t="s">
        <v>1153</v>
      </c>
      <c r="F98" s="6" t="s">
        <v>1184</v>
      </c>
    </row>
    <row r="99" customFormat="false" ht="57.45" hidden="false" customHeight="false" outlineLevel="0" collapsed="false">
      <c r="A99" s="8" t="n">
        <v>91</v>
      </c>
      <c r="B99" s="7" t="s">
        <v>1185</v>
      </c>
      <c r="C99" s="8" t="s">
        <v>954</v>
      </c>
      <c r="D99" s="8" t="s">
        <v>1161</v>
      </c>
      <c r="E99" s="8" t="s">
        <v>1153</v>
      </c>
      <c r="F99" s="8" t="s">
        <v>1186</v>
      </c>
    </row>
    <row r="100" customFormat="false" ht="35.05" hidden="false" customHeight="false" outlineLevel="0" collapsed="false">
      <c r="A100" s="6" t="n">
        <v>92</v>
      </c>
      <c r="B100" s="5" t="s">
        <v>1187</v>
      </c>
      <c r="C100" s="6" t="s">
        <v>954</v>
      </c>
      <c r="D100" s="6" t="s">
        <v>1161</v>
      </c>
      <c r="E100" s="6" t="s">
        <v>1153</v>
      </c>
      <c r="F100" s="6" t="s">
        <v>1188</v>
      </c>
    </row>
  </sheetData>
  <mergeCells count="5">
    <mergeCell ref="A2:F2"/>
    <mergeCell ref="A3:F3"/>
    <mergeCell ref="A4:F4"/>
    <mergeCell ref="A5:F5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2026-04-18T21:05:11Z</dcterms:created>
  <dc:creator>openpyxl</dc:creator>
  <dc:description/>
  <dc:language>en-US</dc:language>
  <cp:lastModifiedBy/>
  <dcterms:modified xsi:type="dcterms:W3CDTF">2026-04-18T21:05:11Z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